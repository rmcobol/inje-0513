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########################################################2026년 평생 학습관 및 다른 기관 교육과정\#######2026년 상반기 홍천군 평생 학습관\###2026년 03월 07일 개강\"/>
    </mc:Choice>
  </mc:AlternateContent>
  <xr:revisionPtr revIDLastSave="0" documentId="13_ncr:1_{FB641076-FD60-486D-BB33-3E2EE69E75B4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수식기본" sheetId="9" r:id="rId1"/>
    <sheet name="날짜시간함수" sheetId="6" r:id="rId2"/>
    <sheet name="수학함수" sheetId="10" r:id="rId3"/>
    <sheet name="통계함수" sheetId="4" r:id="rId4"/>
    <sheet name="텍스트함수" sheetId="5" r:id="rId5"/>
    <sheet name="데이터베이스" sheetId="7" r:id="rId6"/>
    <sheet name="논리함수" sheetId="11" r:id="rId7"/>
    <sheet name="찾기참조함수" sheetId="8" r:id="rId8"/>
  </sheets>
  <definedNames>
    <definedName name="_xlnm.Print_Area" localSheetId="7">찾기참조함수!$A$1:$J$110</definedName>
    <definedName name="점수">통계함수!$B$44:$B$49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8" l="1"/>
  <c r="C18" i="8"/>
  <c r="C19" i="8"/>
  <c r="C16" i="8"/>
</calcChain>
</file>

<file path=xl/sharedStrings.xml><?xml version="1.0" encoding="utf-8"?>
<sst xmlns="http://schemas.openxmlformats.org/spreadsheetml/2006/main" count="708" uniqueCount="461">
  <si>
    <t>국어</t>
    <phoneticPr fontId="1" type="noConversion"/>
  </si>
  <si>
    <t>수학</t>
    <phoneticPr fontId="1" type="noConversion"/>
  </si>
  <si>
    <t>합계</t>
    <phoneticPr fontId="1" type="noConversion"/>
  </si>
  <si>
    <t>영어</t>
    <phoneticPr fontId="1" type="noConversion"/>
  </si>
  <si>
    <t>부서</t>
    <phoneticPr fontId="1" type="noConversion"/>
  </si>
  <si>
    <t>급여</t>
    <phoneticPr fontId="1" type="noConversion"/>
  </si>
  <si>
    <t>영업부</t>
    <phoneticPr fontId="1" type="noConversion"/>
  </si>
  <si>
    <t>관리부</t>
    <phoneticPr fontId="1" type="noConversion"/>
  </si>
  <si>
    <t>평균</t>
    <phoneticPr fontId="1" type="noConversion"/>
  </si>
  <si>
    <t>직책</t>
    <phoneticPr fontId="1" type="noConversion"/>
  </si>
  <si>
    <t>부장</t>
    <phoneticPr fontId="1" type="noConversion"/>
  </si>
  <si>
    <t>과장</t>
    <phoneticPr fontId="1" type="noConversion"/>
  </si>
  <si>
    <t>사원</t>
    <phoneticPr fontId="1" type="noConversion"/>
  </si>
  <si>
    <t>값</t>
    <phoneticPr fontId="1" type="noConversion"/>
  </si>
  <si>
    <t>=2^3</t>
    <phoneticPr fontId="1" type="noConversion"/>
  </si>
  <si>
    <t>통계함수</t>
    <phoneticPr fontId="1" type="noConversion"/>
  </si>
  <si>
    <t>1. AVERAGE---&gt; 평균</t>
    <phoneticPr fontId="1" type="noConversion"/>
  </si>
  <si>
    <t xml:space="preserve"> ; =AVERAGE(A1:A10)  --&gt; 범위가 A1에서 A10까지의 범위의 평균</t>
    <phoneticPr fontId="1" type="noConversion"/>
  </si>
  <si>
    <t>예)</t>
    <phoneticPr fontId="1" type="noConversion"/>
  </si>
  <si>
    <t>=SUM(B5:D5)</t>
    <phoneticPr fontId="1" type="noConversion"/>
  </si>
  <si>
    <t>=AVERAGE(B5:D5)</t>
    <phoneticPr fontId="1" type="noConversion"/>
  </si>
  <si>
    <t xml:space="preserve">2. MAX-&gt;최대값, MIN-&gt;최소값, </t>
    <phoneticPr fontId="1" type="noConversion"/>
  </si>
  <si>
    <t xml:space="preserve">   SMALL-&gt;범위의 몇번째로 작은값, LARGE--&gt;범위의 몇번째로 큰값</t>
    <phoneticPr fontId="1" type="noConversion"/>
  </si>
  <si>
    <t xml:space="preserve">   ;=MAX(A1:A10)----&gt;범위가 A1에서 A10까지 범위중 가장 큰값</t>
    <phoneticPr fontId="1" type="noConversion"/>
  </si>
  <si>
    <t xml:space="preserve">   ;=MIN(A1:A10)----&gt;범위가 A1에서 A10까지 범위중 가장 작은값</t>
    <phoneticPr fontId="1" type="noConversion"/>
  </si>
  <si>
    <t xml:space="preserve">   ;=SMALL(A1:A10,2)----&gt;범위가 A1에서 A10까지 범위중 2번째로 작은값</t>
    <phoneticPr fontId="1" type="noConversion"/>
  </si>
  <si>
    <t xml:space="preserve">   ;=LARGE(A1:A10,2)----&gt;범위가 A1에서 A10까지 범위중 2번째로 큰값</t>
    <phoneticPr fontId="1" type="noConversion"/>
  </si>
  <si>
    <t>점수</t>
    <phoneticPr fontId="1" type="noConversion"/>
  </si>
  <si>
    <t>최대값</t>
    <phoneticPr fontId="1" type="noConversion"/>
  </si>
  <si>
    <t>최소값</t>
    <phoneticPr fontId="1" type="noConversion"/>
  </si>
  <si>
    <t>3번째로 큰값</t>
    <phoneticPr fontId="1" type="noConversion"/>
  </si>
  <si>
    <t>3번째로 작은값</t>
    <phoneticPr fontId="1" type="noConversion"/>
  </si>
  <si>
    <t>=MAX(B17:B21)</t>
    <phoneticPr fontId="1" type="noConversion"/>
  </si>
  <si>
    <t>=MIN(B17:B21)</t>
    <phoneticPr fontId="1" type="noConversion"/>
  </si>
  <si>
    <t>=SMALL(B17:B21,3)</t>
    <phoneticPr fontId="1" type="noConversion"/>
  </si>
  <si>
    <t>=LARGE(B17:B21,3)</t>
    <phoneticPr fontId="1" type="noConversion"/>
  </si>
  <si>
    <t xml:space="preserve">  ; 옵션) 0 또는 FALSE 또는 생략시-----&gt;내림차순 순위(점수가 높은 값 순위)</t>
    <phoneticPr fontId="1" type="noConversion"/>
  </si>
  <si>
    <t xml:space="preserve">  ; 옵션) 1 또는 TRUE-----&gt;오름차순 순위(점수가 낮은 값 순위)  --&gt;육상, 수영</t>
    <phoneticPr fontId="1" type="noConversion"/>
  </si>
  <si>
    <t xml:space="preserve">  ;=RANK.EQ(순위를 구하려는 수,범위(절대참조),옵션)</t>
    <phoneticPr fontId="1" type="noConversion"/>
  </si>
  <si>
    <t>내림차순순위</t>
    <phoneticPr fontId="1" type="noConversion"/>
  </si>
  <si>
    <t>=RANK.EQ(B28,$B$28:$B$33,0)</t>
    <phoneticPr fontId="1" type="noConversion"/>
  </si>
  <si>
    <t>오름차순순위</t>
    <phoneticPr fontId="1" type="noConversion"/>
  </si>
  <si>
    <t>=RANK.EQ(B36,$B$36:$B$41,1)</t>
    <phoneticPr fontId="1" type="noConversion"/>
  </si>
  <si>
    <t>=RANK.EQ(B36,$B$36:$B$41,TRUE)</t>
    <phoneticPr fontId="1" type="noConversion"/>
  </si>
  <si>
    <t>=RANK.EQ(B28,$B$28:$B$33,FALSE)</t>
    <phoneticPr fontId="1" type="noConversion"/>
  </si>
  <si>
    <t>=RANK.EQ(B28,$B$28:$B$33)</t>
    <phoneticPr fontId="1" type="noConversion"/>
  </si>
  <si>
    <t>=RANK.EQ(B44,점수,0)&amp;"위"</t>
    <phoneticPr fontId="1" type="noConversion"/>
  </si>
  <si>
    <t>점수에 이름정의를 한다.---&gt;B44:B49의 이름정의--&gt;'점수'</t>
    <phoneticPr fontId="1" type="noConversion"/>
  </si>
  <si>
    <t xml:space="preserve">  ;=RANK.AVG(순위를 구하려는 수,범위(절대참조),옵션)</t>
    <phoneticPr fontId="1" type="noConversion"/>
  </si>
  <si>
    <r>
      <t xml:space="preserve">3. RANK.EQ---&gt;순위 </t>
    </r>
    <r>
      <rPr>
        <sz val="11"/>
        <color rgb="FFFF0000"/>
        <rFont val="맑은 고딕"/>
        <family val="3"/>
        <charset val="129"/>
        <scheme val="minor"/>
      </rPr>
      <t>(예: 순위가 공동1위가 두명이면 둘 다 1위로 반환)</t>
    </r>
    <phoneticPr fontId="1" type="noConversion"/>
  </si>
  <si>
    <r>
      <t xml:space="preserve">3. RANK.AVG---&gt;순위 </t>
    </r>
    <r>
      <rPr>
        <sz val="11"/>
        <color rgb="FFFF0000"/>
        <rFont val="맑은 고딕"/>
        <family val="3"/>
        <charset val="129"/>
        <scheme val="minor"/>
      </rPr>
      <t>(예: 순위가 둘다 1위이면 평균값으로 1.5등으로 반환)</t>
    </r>
    <phoneticPr fontId="1" type="noConversion"/>
  </si>
  <si>
    <t>=RANK.AVG(B57,$B$57:$B$62,0)</t>
    <phoneticPr fontId="1" type="noConversion"/>
  </si>
  <si>
    <t>4. MEDIAN--&gt;중간값</t>
    <phoneticPr fontId="1" type="noConversion"/>
  </si>
  <si>
    <t xml:space="preserve"> ;=MEDIAN(A1:A10)----&gt;A1에서 A10범위의 중간값</t>
    <phoneticPr fontId="1" type="noConversion"/>
  </si>
  <si>
    <t>점수 데이터가 홀수개</t>
    <phoneticPr fontId="1" type="noConversion"/>
  </si>
  <si>
    <t>점수 데이터가 짝수개</t>
    <phoneticPr fontId="1" type="noConversion"/>
  </si>
  <si>
    <t>중간값</t>
    <phoneticPr fontId="1" type="noConversion"/>
  </si>
  <si>
    <t>=MEDIAN(B68:B72)</t>
    <phoneticPr fontId="1" type="noConversion"/>
  </si>
  <si>
    <t>=MEDIAN(B75:B78)</t>
    <phoneticPr fontId="1" type="noConversion"/>
  </si>
  <si>
    <t>5. MODE--&gt;최빈값(=빈도수, 많이 나오는 값)</t>
    <phoneticPr fontId="1" type="noConversion"/>
  </si>
  <si>
    <t xml:space="preserve"> ;=MODE(A1:A10) ---&gt;A1에서 A10범위에 해당하는 값중 빈도수가 많은 값</t>
    <phoneticPr fontId="1" type="noConversion"/>
  </si>
  <si>
    <t>최빈값</t>
    <phoneticPr fontId="1" type="noConversion"/>
  </si>
  <si>
    <t>=MODE(B84:B88)</t>
    <phoneticPr fontId="1" type="noConversion"/>
  </si>
  <si>
    <t>6. STDEV--&gt;표준편차,  VAR---&gt;분산</t>
    <phoneticPr fontId="1" type="noConversion"/>
  </si>
  <si>
    <t xml:space="preserve"> ; =STDEV(A1:A10)--&gt;범위의 표준편차</t>
    <phoneticPr fontId="1" type="noConversion"/>
  </si>
  <si>
    <t xml:space="preserve"> ; =VAR(A1:A10)--&gt;범위의 분산</t>
    <phoneticPr fontId="1" type="noConversion"/>
  </si>
  <si>
    <t>분산</t>
    <phoneticPr fontId="1" type="noConversion"/>
  </si>
  <si>
    <t>표준편차</t>
    <phoneticPr fontId="1" type="noConversion"/>
  </si>
  <si>
    <t>=VAR(B95:B99)</t>
    <phoneticPr fontId="1" type="noConversion"/>
  </si>
  <si>
    <t>=STDEV(B95:B99)</t>
    <phoneticPr fontId="1" type="noConversion"/>
  </si>
  <si>
    <t>7. COUNT --&gt; 숫자의 개수, COUNTA --&gt; 공백을 제외한 개수</t>
    <phoneticPr fontId="1" type="noConversion"/>
  </si>
  <si>
    <t xml:space="preserve">   COUNTBLANK --&gt; 공백의 개수</t>
    <phoneticPr fontId="1" type="noConversion"/>
  </si>
  <si>
    <t xml:space="preserve"> ;=COUNT(A1:A10)--&gt;범위의 숫자개수</t>
    <phoneticPr fontId="1" type="noConversion"/>
  </si>
  <si>
    <t xml:space="preserve"> ;=COUNTA(A1:A10)--&gt;범위의 공백을 제외한 개수</t>
    <phoneticPr fontId="1" type="noConversion"/>
  </si>
  <si>
    <t xml:space="preserve"> ;=COUNTBLANK(A1:A10)--&gt;범위의 공백의 개수</t>
    <phoneticPr fontId="1" type="noConversion"/>
  </si>
  <si>
    <t>숫자의 개수</t>
    <phoneticPr fontId="1" type="noConversion"/>
  </si>
  <si>
    <t>공백을 제외한 개수</t>
    <phoneticPr fontId="1" type="noConversion"/>
  </si>
  <si>
    <t>공백의 개수</t>
    <phoneticPr fontId="1" type="noConversion"/>
  </si>
  <si>
    <t>범위는 B108:C110</t>
    <phoneticPr fontId="1" type="noConversion"/>
  </si>
  <si>
    <t>=COUNT(B108:C110)</t>
    <phoneticPr fontId="1" type="noConversion"/>
  </si>
  <si>
    <t>=COUNTA(B108:C110)</t>
    <phoneticPr fontId="1" type="noConversion"/>
  </si>
  <si>
    <t>=COUNTBLANK(B108:C110)</t>
    <phoneticPr fontId="1" type="noConversion"/>
  </si>
  <si>
    <t xml:space="preserve"> ;=COUNTIF(조건범위,조건)</t>
    <phoneticPr fontId="1" type="noConversion"/>
  </si>
  <si>
    <t>점수에서 50점 이상의 개수는 몇 개인가?</t>
    <phoneticPr fontId="1" type="noConversion"/>
  </si>
  <si>
    <t>50점 이상 개수</t>
    <phoneticPr fontId="1" type="noConversion"/>
  </si>
  <si>
    <t>=COUNTIF(B117:B121,"&gt;=50")</t>
    <phoneticPr fontId="1" type="noConversion"/>
  </si>
  <si>
    <t>대리</t>
    <phoneticPr fontId="1" type="noConversion"/>
  </si>
  <si>
    <t>과장인 개수</t>
    <phoneticPr fontId="1" type="noConversion"/>
  </si>
  <si>
    <t>직책이 과장이 사람의 개수는?</t>
    <phoneticPr fontId="1" type="noConversion"/>
  </si>
  <si>
    <t>=COUNTIF(B124:B128,"과장")</t>
    <phoneticPr fontId="1" type="noConversion"/>
  </si>
  <si>
    <t>=COUNTIF(B124:B128,B124)</t>
    <phoneticPr fontId="1" type="noConversion"/>
  </si>
  <si>
    <t>8. COUNTIF--&gt; 조건의 개수(조건이 1개만 해당)</t>
    <phoneticPr fontId="1" type="noConversion"/>
  </si>
  <si>
    <t>9. COUNTIFS--&gt;조건의 개수(조건이 2개 이상인 개수)</t>
    <phoneticPr fontId="1" type="noConversion"/>
  </si>
  <si>
    <t>직책이 과장이면서 급여가200이상인 개수는?</t>
    <phoneticPr fontId="1" type="noConversion"/>
  </si>
  <si>
    <t>과장이면서 급여가 200이상</t>
    <phoneticPr fontId="1" type="noConversion"/>
  </si>
  <si>
    <t>=COUNTIFS(B134:B138,"과장",C134:C138,"&gt;=200")</t>
    <phoneticPr fontId="1" type="noConversion"/>
  </si>
  <si>
    <t xml:space="preserve"> ;=COUNTIFS(조건범위1,조건1,조건범위2,조건2,조건범위3,조건3…….)</t>
    <phoneticPr fontId="1" type="noConversion"/>
  </si>
  <si>
    <t xml:space="preserve"> ;=AVERAGEIF(조건범위,조건,평균범위)</t>
    <phoneticPr fontId="1" type="noConversion"/>
  </si>
  <si>
    <t>부서가 영업부에 해당하는 급여의 평균를 구하세요.(AVERAGEIF)</t>
    <phoneticPr fontId="1" type="noConversion"/>
  </si>
  <si>
    <t>=AVERAGEIF(조건범위,조건,평균범위)</t>
    <phoneticPr fontId="1" type="noConversion"/>
  </si>
  <si>
    <t>=AVERAGEIF(B143:B147,"영업부",C143:C147)</t>
    <phoneticPr fontId="1" type="noConversion"/>
  </si>
  <si>
    <t>평균이 80점 이상인 급여의 평균를 구하세요.(AVERAGEIF)</t>
    <phoneticPr fontId="1" type="noConversion"/>
  </si>
  <si>
    <t>=AVERAGEIF(B150:B154,"&gt;=80",C150:C154)</t>
    <phoneticPr fontId="1" type="noConversion"/>
  </si>
  <si>
    <t>9. AVERAGEIFS--&gt;조건의 평균(조건이 2개 이상)</t>
    <phoneticPr fontId="1" type="noConversion"/>
  </si>
  <si>
    <t>9. AVERAGEIF--&gt;조건의 평균(조건이 1개)</t>
    <phoneticPr fontId="1" type="noConversion"/>
  </si>
  <si>
    <t xml:space="preserve"> ;=AVERAGEIFS(평균범위,조건범위1,조건1,조건범위2,조건2…...)</t>
    <phoneticPr fontId="1" type="noConversion"/>
  </si>
  <si>
    <t>부서가 영업부이면서 직책이 부장인 급여의 평균(AVERAGEIFS)</t>
    <phoneticPr fontId="1" type="noConversion"/>
  </si>
  <si>
    <t>=AVERAGEIFS(D159:D163,B159:B163,"영업부",C159:C163,"부장")</t>
    <phoneticPr fontId="1" type="noConversion"/>
  </si>
  <si>
    <t>텍스트 함수</t>
    <phoneticPr fontId="1" type="noConversion"/>
  </si>
  <si>
    <t>1. LEFT--&gt; 왼쪽 문자열 출력</t>
    <phoneticPr fontId="1" type="noConversion"/>
  </si>
  <si>
    <t>2. RIGHT--&gt; 오른쪽 문자열 출력</t>
    <phoneticPr fontId="1" type="noConversion"/>
  </si>
  <si>
    <t>3. MID--&gt; 가운데 문자열 출력</t>
    <phoneticPr fontId="1" type="noConversion"/>
  </si>
  <si>
    <t xml:space="preserve"> ;=LEFT(문자열,개수)</t>
    <phoneticPr fontId="1" type="noConversion"/>
  </si>
  <si>
    <t xml:space="preserve"> ;=RIGHT(문자열,개수)</t>
    <phoneticPr fontId="1" type="noConversion"/>
  </si>
  <si>
    <t xml:space="preserve"> ;=MID(문자열,시작위치,개수)</t>
    <phoneticPr fontId="1" type="noConversion"/>
  </si>
  <si>
    <t>문자열</t>
    <phoneticPr fontId="1" type="noConversion"/>
  </si>
  <si>
    <t>KOREA</t>
    <phoneticPr fontId="1" type="noConversion"/>
  </si>
  <si>
    <t>왼쪽 2글자</t>
    <phoneticPr fontId="1" type="noConversion"/>
  </si>
  <si>
    <t>오른쪽 2글자</t>
    <phoneticPr fontId="1" type="noConversion"/>
  </si>
  <si>
    <t>가운데 2번째부터 2글자</t>
    <phoneticPr fontId="1" type="noConversion"/>
  </si>
  <si>
    <t>=LEFT(B10,2)</t>
    <phoneticPr fontId="1" type="noConversion"/>
  </si>
  <si>
    <t>=RIGHT(B10,2)</t>
    <phoneticPr fontId="1" type="noConversion"/>
  </si>
  <si>
    <t>=MID(B10,2,2)</t>
    <phoneticPr fontId="1" type="noConversion"/>
  </si>
  <si>
    <t>4. LOWER-&gt;소문자로 변환, UPPER-&gt;대문자로 변환, PROPER-&gt;첫글자만 대문자로 변환</t>
    <phoneticPr fontId="1" type="noConversion"/>
  </si>
  <si>
    <t>korea</t>
    <phoneticPr fontId="1" type="noConversion"/>
  </si>
  <si>
    <t>소문자로변환</t>
    <phoneticPr fontId="1" type="noConversion"/>
  </si>
  <si>
    <t>대문자로변환</t>
    <phoneticPr fontId="1" type="noConversion"/>
  </si>
  <si>
    <t>첫글자만대문자</t>
    <phoneticPr fontId="1" type="noConversion"/>
  </si>
  <si>
    <t>=LOWER(B17)</t>
    <phoneticPr fontId="1" type="noConversion"/>
  </si>
  <si>
    <t>=UPPER(B20)</t>
    <phoneticPr fontId="1" type="noConversion"/>
  </si>
  <si>
    <t>=PROPER(B23)</t>
    <phoneticPr fontId="1" type="noConversion"/>
  </si>
  <si>
    <t>문자열 길이</t>
    <phoneticPr fontId="1" type="noConversion"/>
  </si>
  <si>
    <t>=LEN(B28)</t>
    <phoneticPr fontId="1" type="noConversion"/>
  </si>
  <si>
    <t>5. LEN--&gt; 문자열의 길이(문자의 개수)</t>
    <phoneticPr fontId="1" type="noConversion"/>
  </si>
  <si>
    <t>KO      REA</t>
    <phoneticPr fontId="1" type="noConversion"/>
  </si>
  <si>
    <t>공백제거</t>
    <phoneticPr fontId="1" type="noConversion"/>
  </si>
  <si>
    <t>=TRIM(B33)</t>
    <phoneticPr fontId="1" type="noConversion"/>
  </si>
  <si>
    <t>6. TRIM--&gt;공백 제거(문자와 문자 사이의 한칸의 공백을 제외한 공백 제거)</t>
    <phoneticPr fontId="1" type="noConversion"/>
  </si>
  <si>
    <t xml:space="preserve">  ;=FIND(찾을문자열,검색할문자열)</t>
    <phoneticPr fontId="1" type="noConversion"/>
  </si>
  <si>
    <t xml:space="preserve"> ;=SEARCH(찾을문자열,검색할문자열)</t>
    <phoneticPr fontId="1" type="noConversion"/>
  </si>
  <si>
    <t>Korea</t>
    <phoneticPr fontId="1" type="noConversion"/>
  </si>
  <si>
    <r>
      <t xml:space="preserve">7. FIND---&gt; 문자열 찾기(찾을 문자열의 위치, </t>
    </r>
    <r>
      <rPr>
        <b/>
        <sz val="11"/>
        <color rgb="FFFF0000"/>
        <rFont val="맑은 고딕"/>
        <family val="3"/>
        <charset val="129"/>
        <scheme val="minor"/>
      </rPr>
      <t>대소문자 구분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</si>
  <si>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 xml:space="preserve">8. SEARCH---&gt;문자열 찾기(찾을 문자열의 위치, </t>
    </r>
    <r>
      <rPr>
        <b/>
        <sz val="11"/>
        <color rgb="FFFF0000"/>
        <rFont val="맑은 고딕"/>
        <family val="3"/>
        <charset val="129"/>
        <scheme val="minor"/>
      </rPr>
      <t>대소문자 구분 안함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</si>
  <si>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"r"이 몇번째 위치</t>
    <phoneticPr fontId="1" type="noConversion"/>
  </si>
  <si>
    <t>"E"가 몇번째 위치</t>
    <phoneticPr fontId="1" type="noConversion"/>
  </si>
  <si>
    <t>=FIND("r",B38)</t>
    <phoneticPr fontId="1" type="noConversion"/>
  </si>
  <si>
    <t>=SEARCH("e",B44)</t>
    <phoneticPr fontId="1" type="noConversion"/>
  </si>
  <si>
    <t>날짜/시간 함수</t>
    <phoneticPr fontId="1" type="noConversion"/>
  </si>
  <si>
    <t>1. YEAR(년도), MONTH(월), DAY(일)</t>
    <phoneticPr fontId="1" type="noConversion"/>
  </si>
  <si>
    <t xml:space="preserve"> ;=YEAR(날짜)--&gt;년도, =MONTH(날짜)--&gt;월,  =DAY(날짜)---&gt;일</t>
    <phoneticPr fontId="1" type="noConversion"/>
  </si>
  <si>
    <t>날짜</t>
    <phoneticPr fontId="1" type="noConversion"/>
  </si>
  <si>
    <t>년도</t>
    <phoneticPr fontId="1" type="noConversion"/>
  </si>
  <si>
    <t>월</t>
    <phoneticPr fontId="1" type="noConversion"/>
  </si>
  <si>
    <t>일</t>
    <phoneticPr fontId="1" type="noConversion"/>
  </si>
  <si>
    <t>결과값</t>
    <phoneticPr fontId="1" type="noConversion"/>
  </si>
  <si>
    <t>=YEAR(B7)</t>
    <phoneticPr fontId="1" type="noConversion"/>
  </si>
  <si>
    <t>=MONTH(B7)</t>
    <phoneticPr fontId="1" type="noConversion"/>
  </si>
  <si>
    <t>=DAY(B7)</t>
    <phoneticPr fontId="1" type="noConversion"/>
  </si>
  <si>
    <t>2. HOUR(시), MINUTE(분), SECOND(초)</t>
    <phoneticPr fontId="1" type="noConversion"/>
  </si>
  <si>
    <t xml:space="preserve"> ;=HOUR(시간)--&gt;시, =MINUTE(시간)--&gt;분, =SECOND(시간)--&gt;초</t>
    <phoneticPr fontId="1" type="noConversion"/>
  </si>
  <si>
    <t>시간</t>
    <phoneticPr fontId="1" type="noConversion"/>
  </si>
  <si>
    <t>시</t>
    <phoneticPr fontId="1" type="noConversion"/>
  </si>
  <si>
    <t>분</t>
    <phoneticPr fontId="1" type="noConversion"/>
  </si>
  <si>
    <t>초</t>
    <phoneticPr fontId="1" type="noConversion"/>
  </si>
  <si>
    <t>=HOUR(B14)</t>
    <phoneticPr fontId="1" type="noConversion"/>
  </si>
  <si>
    <t>=MINUTE(B14)</t>
    <phoneticPr fontId="1" type="noConversion"/>
  </si>
  <si>
    <t>=SECOND(B14)</t>
    <phoneticPr fontId="1" type="noConversion"/>
  </si>
  <si>
    <t xml:space="preserve"> ;=DATE(년도,월,일)----&gt;년,월,일 을 변환한다.</t>
    <phoneticPr fontId="1" type="noConversion"/>
  </si>
  <si>
    <t>=DATE(2022,10,20)</t>
    <phoneticPr fontId="1" type="noConversion"/>
  </si>
  <si>
    <t xml:space="preserve"> ;=TIME(시,분,초)-----&gt;시,분,초 을 변환한다.</t>
    <phoneticPr fontId="1" type="noConversion"/>
  </si>
  <si>
    <t>=TIME(10,20,30)</t>
    <phoneticPr fontId="1" type="noConversion"/>
  </si>
  <si>
    <t>3. DATE---&gt;날짜 형식 변환</t>
    <phoneticPr fontId="1" type="noConversion"/>
  </si>
  <si>
    <t>4. TIME---&gt;시간 형식 변환</t>
    <phoneticPr fontId="1" type="noConversion"/>
  </si>
  <si>
    <t>5. TODAY--&gt;현재 시스템의 날짜,   NOW---&gt; 현재 시스템의 날짜와 시간</t>
    <phoneticPr fontId="1" type="noConversion"/>
  </si>
  <si>
    <t xml:space="preserve"> ;=TODAY( )--&gt;현재 시스템의 날짜,  =NOW( )----&gt; 현재 시스템의 날짜와 시간</t>
    <phoneticPr fontId="1" type="noConversion"/>
  </si>
  <si>
    <t xml:space="preserve">예) </t>
    <phoneticPr fontId="1" type="noConversion"/>
  </si>
  <si>
    <t>=TODAY( )</t>
    <phoneticPr fontId="1" type="noConversion"/>
  </si>
  <si>
    <t>=NOW( )</t>
    <phoneticPr fontId="1" type="noConversion"/>
  </si>
  <si>
    <t>6. DAYS---&gt; 두 날짜 사이의 일수</t>
    <phoneticPr fontId="1" type="noConversion"/>
  </si>
  <si>
    <t xml:space="preserve"> ;=DAYS(종료날짜,시작날짜)-----&gt;종료날짜에서 시작날짜를 뺀 일수</t>
    <phoneticPr fontId="1" type="noConversion"/>
  </si>
  <si>
    <t>시작날짜</t>
    <phoneticPr fontId="1" type="noConversion"/>
  </si>
  <si>
    <t>종료날짜</t>
    <phoneticPr fontId="1" type="noConversion"/>
  </si>
  <si>
    <t>일수</t>
    <phoneticPr fontId="1" type="noConversion"/>
  </si>
  <si>
    <t>=DAYS(C37,B37)</t>
    <phoneticPr fontId="1" type="noConversion"/>
  </si>
  <si>
    <t>7. WEEKDAY---&gt;요일의 일련번호 출력</t>
    <phoneticPr fontId="1" type="noConversion"/>
  </si>
  <si>
    <t xml:space="preserve"> ; 옵션(1 또는 생략)---&gt;일(1),월(2),화(3),수(4),목(5),금(6),토(7)</t>
    <phoneticPr fontId="1" type="noConversion"/>
  </si>
  <si>
    <t xml:space="preserve"> ; 옵션(2)----&gt;월(1),화(2),수(3),목(4),금(5),토(6),일(7)</t>
    <phoneticPr fontId="1" type="noConversion"/>
  </si>
  <si>
    <t xml:space="preserve"> </t>
    <phoneticPr fontId="1" type="noConversion"/>
  </si>
  <si>
    <t xml:space="preserve"> ;=WEEKDAY(날짜,옵션)</t>
    <phoneticPr fontId="1" type="noConversion"/>
  </si>
  <si>
    <t>옵션(1 또는 생략)</t>
    <phoneticPr fontId="1" type="noConversion"/>
  </si>
  <si>
    <t>옵션(2)</t>
    <phoneticPr fontId="1" type="noConversion"/>
  </si>
  <si>
    <t>=WEEKDAY(B45,1)</t>
    <phoneticPr fontId="1" type="noConversion"/>
  </si>
  <si>
    <t>=WEEKDAY(B45,2)</t>
    <phoneticPr fontId="1" type="noConversion"/>
  </si>
  <si>
    <t>=CHOOSE(WEEKDAY(B45,2),"월","화","수","목","금","토","일")</t>
    <phoneticPr fontId="1" type="noConversion"/>
  </si>
  <si>
    <t>8. EDATE---&gt;개월수를 더한 마지막 날짜의 일련번호</t>
    <phoneticPr fontId="1" type="noConversion"/>
  </si>
  <si>
    <t xml:space="preserve"> ;=EDATE(날짜,개월수)----&gt;날짜에 개월수를 더한 일련번호</t>
    <phoneticPr fontId="1" type="noConversion"/>
  </si>
  <si>
    <t>날짜개 개월수 2을 더한다.</t>
    <phoneticPr fontId="1" type="noConversion"/>
  </si>
  <si>
    <t>=EDATE(B55,2)</t>
    <phoneticPr fontId="1" type="noConversion"/>
  </si>
  <si>
    <t>;---&gt;일련번호를 -&gt;날짜형식으로 변환</t>
    <phoneticPr fontId="1" type="noConversion"/>
  </si>
  <si>
    <t>9. EOMONTH---&gt;개월 수를 더한 달의 마지막 날짜의 일련번호</t>
    <phoneticPr fontId="1" type="noConversion"/>
  </si>
  <si>
    <t xml:space="preserve"> ;=EOMONTH(날짜,개월수)----&gt;날짜에 개월수를 더한 달의 마지막 날짜의 일련번호</t>
    <phoneticPr fontId="1" type="noConversion"/>
  </si>
  <si>
    <t>=EOMONTH(B65,2)</t>
    <phoneticPr fontId="1" type="noConversion"/>
  </si>
  <si>
    <t>10. WORKDAY---&gt; 평일의 일수를 적용한 날짜의 일련번호</t>
    <phoneticPr fontId="1" type="noConversion"/>
  </si>
  <si>
    <t xml:space="preserve"> ;=WORKDAY(날짜,일수)---&gt;날짜에 일수를 더한다.(주말과 휴일을 제외하고 더한다.)</t>
    <phoneticPr fontId="1" type="noConversion"/>
  </si>
  <si>
    <t>날짜에 3일을 더한다.(WORKDAY)</t>
    <phoneticPr fontId="1" type="noConversion"/>
  </si>
  <si>
    <t>데이터베이스</t>
    <phoneticPr fontId="1" type="noConversion"/>
  </si>
  <si>
    <t>1. DSUM--&gt;데이터베이스 범위에서 조건에 해당하는 합계</t>
    <phoneticPr fontId="1" type="noConversion"/>
  </si>
  <si>
    <t xml:space="preserve"> ;=DSUM(데이터베이스범위,필드(합계필드),조건)</t>
    <phoneticPr fontId="1" type="noConversion"/>
  </si>
  <si>
    <t>2. DAVERAGE--&gt;데이터베이스 범위에서 조건에 해당하는 평균</t>
    <phoneticPr fontId="1" type="noConversion"/>
  </si>
  <si>
    <t xml:space="preserve"> ;=DAVERAGE(데이터베이스범위,필드(평균필드),조건)</t>
    <phoneticPr fontId="1" type="noConversion"/>
  </si>
  <si>
    <t>3. DMAX--&gt;데이터베이스 범위에서 조건에 해당하는 최대값</t>
    <phoneticPr fontId="1" type="noConversion"/>
  </si>
  <si>
    <t xml:space="preserve"> ;=DMAX(데이터베이스범위,필드(최대값필드),조건)</t>
    <phoneticPr fontId="1" type="noConversion"/>
  </si>
  <si>
    <t xml:space="preserve"> ;=DMIN(데이터베이스범위,필드(최소값필드),조건)</t>
    <phoneticPr fontId="1" type="noConversion"/>
  </si>
  <si>
    <t xml:space="preserve"> ;=DSTDEV(데이터베이스범위,필드(표준편차필드),조건)</t>
    <phoneticPr fontId="1" type="noConversion"/>
  </si>
  <si>
    <t>4. DMIN--&gt;데이터베이스 범위에서 조건에 해당하는 최소값</t>
    <phoneticPr fontId="1" type="noConversion"/>
  </si>
  <si>
    <t>5. DSTDEV--&gt;데이터베이스 범위에서 조건에 해당하는 표준편차</t>
    <phoneticPr fontId="1" type="noConversion"/>
  </si>
  <si>
    <t>6. DVAR--&gt;데이터베이스 범위에서 조건에 해당하는 분산</t>
    <phoneticPr fontId="1" type="noConversion"/>
  </si>
  <si>
    <t xml:space="preserve"> ;=DVAR(데이터베이스범위,필드(분산필드),조건)</t>
    <phoneticPr fontId="1" type="noConversion"/>
  </si>
  <si>
    <t>7. DCOUNT--&gt;데이터베이스 범위에서 조건에 해당하는 숫자의개수</t>
    <phoneticPr fontId="1" type="noConversion"/>
  </si>
  <si>
    <t xml:space="preserve"> ;=DCOUNT(데이터베이스범위,필드(숫자필드),조건)</t>
    <phoneticPr fontId="1" type="noConversion"/>
  </si>
  <si>
    <t>8. DCOUNTA--&gt;데이터베이스 범위에서 조건에 해당하는 문자의개수</t>
    <phoneticPr fontId="1" type="noConversion"/>
  </si>
  <si>
    <t xml:space="preserve"> ;=DCOUNTA(데이터베이스범위,필드(문자필드),조건)</t>
    <phoneticPr fontId="1" type="noConversion"/>
  </si>
  <si>
    <t>EX) 부서과 영업부에 해당하는 급여의(합계,평균,최대값,최소값,표준편차,분산)을 구하세요.</t>
    <phoneticPr fontId="1" type="noConversion"/>
  </si>
  <si>
    <t>함수식</t>
    <phoneticPr fontId="1" type="noConversion"/>
  </si>
  <si>
    <t>EX) 부서과 관리부에 해당하는 급여의(합계,평균,최대값,최소값,표준편차,분산)을 구하세요.</t>
    <phoneticPr fontId="1" type="noConversion"/>
  </si>
  <si>
    <t>=DSUM(B21:C27,C21(=2),B21:B22)</t>
    <phoneticPr fontId="1" type="noConversion"/>
  </si>
  <si>
    <t>=DAVERAGE(B21:C27,C21(=2),B21:B22)</t>
    <phoneticPr fontId="1" type="noConversion"/>
  </si>
  <si>
    <t>=DMAX(B21:C27,C21,B21:B22)</t>
    <phoneticPr fontId="1" type="noConversion"/>
  </si>
  <si>
    <t>=DMIN(B21:C27,C21,B21:B22)</t>
    <phoneticPr fontId="1" type="noConversion"/>
  </si>
  <si>
    <t>=DSTDEV(B21:C27,C21,B21:B22)</t>
    <phoneticPr fontId="1" type="noConversion"/>
  </si>
  <si>
    <t>=DVAR(B21:C27,C21,B21:B22)</t>
    <phoneticPr fontId="1" type="noConversion"/>
  </si>
  <si>
    <t>EX)조건</t>
    <phoneticPr fontId="1" type="noConversion"/>
  </si>
  <si>
    <t>=DSUM(B32:C38,2,B40:B41)</t>
    <phoneticPr fontId="1" type="noConversion"/>
  </si>
  <si>
    <t>=DAVERAGE(B32:C38,2,B40:B41)</t>
    <phoneticPr fontId="1" type="noConversion"/>
  </si>
  <si>
    <t>=DMAX(B32:C38,2,B40:B41)</t>
    <phoneticPr fontId="1" type="noConversion"/>
  </si>
  <si>
    <t>=DMIN(B32:C38,2,B40:B41)</t>
    <phoneticPr fontId="1" type="noConversion"/>
  </si>
  <si>
    <t>=DSTDEV(B32:C38,2,B40:B41)</t>
    <phoneticPr fontId="1" type="noConversion"/>
  </si>
  <si>
    <t>=DVAR(B32:C38,2,B40:B41)</t>
    <phoneticPr fontId="1" type="noConversion"/>
  </si>
  <si>
    <t>EX) 부서과 관리부에 해당하는 부서의 개수와, 급여가 300이상인 개수</t>
    <phoneticPr fontId="1" type="noConversion"/>
  </si>
  <si>
    <t>관리부개수</t>
    <phoneticPr fontId="1" type="noConversion"/>
  </si>
  <si>
    <t>급여가 300이상</t>
    <phoneticPr fontId="1" type="noConversion"/>
  </si>
  <si>
    <t>&gt;=300</t>
    <phoneticPr fontId="1" type="noConversion"/>
  </si>
  <si>
    <t>=DCOUNTA(B45:C51,B45,B53:B54)</t>
    <phoneticPr fontId="1" type="noConversion"/>
  </si>
  <si>
    <t>=DCOUNT(B45:C51,C45,D53:D54)</t>
    <phoneticPr fontId="1" type="noConversion"/>
  </si>
  <si>
    <t>찾기/참조 함수</t>
    <phoneticPr fontId="1" type="noConversion"/>
  </si>
  <si>
    <t>품목</t>
    <phoneticPr fontId="1" type="noConversion"/>
  </si>
  <si>
    <t>개수</t>
    <phoneticPr fontId="1" type="noConversion"/>
  </si>
  <si>
    <t>가격</t>
    <phoneticPr fontId="1" type="noConversion"/>
  </si>
  <si>
    <t>커피</t>
    <phoneticPr fontId="1" type="noConversion"/>
  </si>
  <si>
    <t>우유</t>
    <phoneticPr fontId="1" type="noConversion"/>
  </si>
  <si>
    <t>주스</t>
    <phoneticPr fontId="1" type="noConversion"/>
  </si>
  <si>
    <t>학점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</si>
  <si>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</si>
  <si>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</si>
  <si>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</si>
  <si>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우유의 가격</t>
    <phoneticPr fontId="1" type="noConversion"/>
  </si>
  <si>
    <t>F</t>
    <phoneticPr fontId="1" type="noConversion"/>
  </si>
  <si>
    <r>
      <t xml:space="preserve">1. VLOOKUP---&gt;열값(세로값) 찾기 함수
</t>
    </r>
    <r>
      <rPr>
        <b/>
        <sz val="16"/>
        <color rgb="FFFF0000"/>
        <rFont val="맑은 고딕"/>
        <family val="3"/>
        <charset val="129"/>
        <scheme val="minor"/>
      </rPr>
      <t>=VLOOKUP(찾는값,찾는값 범위,찾을열번호,옵션)
      --&gt;찾는 값 범위의 위치는 찾는값이 첫번째 열이어야 한다.
---&gt;옵션(정확한값을 찾을 때 : 0 또는 FALSE
---&gt;옵션(근사값을 찾을 때 : 1 또는 TRUE 또는 생략</t>
    </r>
    <phoneticPr fontId="1" type="noConversion"/>
  </si>
  <si>
    <t>=VLOOKUP(E6,B6:D8,3,0)</t>
    <phoneticPr fontId="1" type="noConversion"/>
  </si>
  <si>
    <t>=VLOOKUP(E11,C11:D13,2,0)</t>
    <phoneticPr fontId="1" type="noConversion"/>
  </si>
  <si>
    <t>=HLOOKUP("우유",C26:E28,2,0)</t>
    <phoneticPr fontId="1" type="noConversion"/>
  </si>
  <si>
    <r>
      <t xml:space="preserve">2. HLOOKUP---&gt;행값(가로값)찾기 함수
</t>
    </r>
    <r>
      <rPr>
        <b/>
        <sz val="16"/>
        <color rgb="FFFF0000"/>
        <rFont val="맑은 고딕"/>
        <family val="3"/>
        <charset val="129"/>
        <scheme val="minor"/>
      </rPr>
      <t>=HLOOKUP(찾는값,찾는값 범위,찾을행번호,옵션)
    --&gt;찾는 값 범위의 위치는 찾는값이 첫번째 행이어야 한다.
---&gt;옵션(정확한값을 찾을 때 : 0 또는 FALSE
---&gt;옵션(근사값을 찾을 때 : 1 또는 TRUE 또는 생략</t>
    </r>
    <phoneticPr fontId="1" type="noConversion"/>
  </si>
  <si>
    <t>3. CHOOSE--&gt; 인텍스 숫자에 따라 선택 값을 출력</t>
    <phoneticPr fontId="1" type="noConversion"/>
  </si>
  <si>
    <t>=CHOOSE(인덱스번호,값1,값2,값3…..)</t>
    <phoneticPr fontId="1" type="noConversion"/>
  </si>
  <si>
    <t>번호</t>
    <phoneticPr fontId="1" type="noConversion"/>
  </si>
  <si>
    <t>부서는 1(관리부),2(영업부),3(자재부),4(생산부)</t>
    <phoneticPr fontId="1" type="noConversion"/>
  </si>
  <si>
    <t>4. INDEX--&gt;행과 열에 따른 위치값 출력</t>
    <phoneticPr fontId="1" type="noConversion"/>
  </si>
  <si>
    <t>=INDEX(범위,행,열)---&gt;범위에서 행과 열에 대한 위치값을 출력</t>
    <phoneticPr fontId="1" type="noConversion"/>
  </si>
  <si>
    <t>홍길동</t>
    <phoneticPr fontId="1" type="noConversion"/>
  </si>
  <si>
    <t>이도령</t>
    <phoneticPr fontId="1" type="noConversion"/>
  </si>
  <si>
    <t>성춘향</t>
    <phoneticPr fontId="1" type="noConversion"/>
  </si>
  <si>
    <t>범위에서 2행 2열에 해당하는 값을 출력</t>
    <phoneticPr fontId="1" type="noConversion"/>
  </si>
  <si>
    <t>5. MATCH---&gt; 행의 위치 번호 반환(몇번째 위치에 있냐)</t>
    <phoneticPr fontId="1" type="noConversion"/>
  </si>
  <si>
    <t>=MATCH(찾을값, 범위,옵션)--&gt;찾을 값이 범위에 몇번째 위치에 있는지 인덱스 값을 출력</t>
    <phoneticPr fontId="1" type="noConversion"/>
  </si>
  <si>
    <t>옵션)  0----&gt;정확한값의 위치를 찾을때</t>
    <phoneticPr fontId="1" type="noConversion"/>
  </si>
  <si>
    <t>사과</t>
    <phoneticPr fontId="1" type="noConversion"/>
  </si>
  <si>
    <t>배</t>
    <phoneticPr fontId="1" type="noConversion"/>
  </si>
  <si>
    <t>귤</t>
    <phoneticPr fontId="1" type="noConversion"/>
  </si>
  <si>
    <t>정확한값</t>
    <phoneticPr fontId="1" type="noConversion"/>
  </si>
  <si>
    <t>오름차순</t>
    <phoneticPr fontId="1" type="noConversion"/>
  </si>
  <si>
    <t>내림차순</t>
    <phoneticPr fontId="1" type="noConversion"/>
  </si>
  <si>
    <t>EX) 범위에서 배의 위치는 몇번째인가</t>
    <phoneticPr fontId="1" type="noConversion"/>
  </si>
  <si>
    <t>EX) 범위에서 54의 값은 몇번째 위치에 있는가</t>
    <phoneticPr fontId="1" type="noConversion"/>
  </si>
  <si>
    <t>EX) 범위에서 45의 값은 몇번째 위치에 있는가</t>
    <phoneticPr fontId="1" type="noConversion"/>
  </si>
  <si>
    <t>위치</t>
    <phoneticPr fontId="1" type="noConversion"/>
  </si>
  <si>
    <t>6. COLUMN---&gt;열번호 반환</t>
    <phoneticPr fontId="1" type="noConversion"/>
  </si>
  <si>
    <t>7. COLUMNS---&gt;범위의 열개수 반환</t>
    <phoneticPr fontId="1" type="noConversion"/>
  </si>
  <si>
    <t>8. ROW---&gt;행번호 반환</t>
    <phoneticPr fontId="1" type="noConversion"/>
  </si>
  <si>
    <t>=RANK.EQ(B28,점수)&lt;--B28:B33(점수로 이름정의)</t>
    <phoneticPr fontId="1" type="noConversion"/>
  </si>
  <si>
    <t>옵션)  1----&gt;범위가 오름차순이 되어 있어야함.
(범위에서 찾을값보다 작거나 같은 값중 최대값을 찾아 인덱스 값을 출력)</t>
    <phoneticPr fontId="1" type="noConversion"/>
  </si>
  <si>
    <t>옵션) -1----&gt;범위가 내림차순이 되어 있어야함.
(범위에서 찾을값보다 크거나 같은 값중 최소값을 찾아 인덱스 값을 출력)</t>
    <phoneticPr fontId="1" type="noConversion"/>
  </si>
  <si>
    <t>=CHOOSE(B50,"관리부","영업부","자재부","생산부")</t>
    <phoneticPr fontId="1" type="noConversion"/>
  </si>
  <si>
    <t>1. 수식의 기본</t>
    <phoneticPr fontId="1" type="noConversion"/>
  </si>
  <si>
    <t xml:space="preserve"> ; 수식은 항상 등호(=)으로 시작합니다.</t>
    <phoneticPr fontId="1" type="noConversion"/>
  </si>
  <si>
    <t xml:space="preserve"> '; 수식은 수식기호,함수,셀 참조, 연산자, 상수, 괄호 등으로 구성</t>
    <phoneticPr fontId="1" type="noConversion"/>
  </si>
  <si>
    <t xml:space="preserve"> ';수식에서 텍스트(문자)가 사용될때 큰다음표 " "로 묶어 주어야 합니다.</t>
    <phoneticPr fontId="1" type="noConversion"/>
  </si>
  <si>
    <t>(예)</t>
    <phoneticPr fontId="1" type="noConversion"/>
  </si>
  <si>
    <t>=SUM(A1:A10)/5</t>
    <phoneticPr fontId="1" type="noConversion"/>
  </si>
  <si>
    <t>2. 연산자</t>
    <phoneticPr fontId="1" type="noConversion"/>
  </si>
  <si>
    <t>; 산술연산자</t>
    <phoneticPr fontId="1" type="noConversion"/>
  </si>
  <si>
    <t xml:space="preserve">   '; +(더하기) , -(빼기) , *(곱하기) , /(나누기;몫) , %(백분율 ; 10% 는 0.1에 * 100) , ^(지수)</t>
    <phoneticPr fontId="1" type="noConversion"/>
  </si>
  <si>
    <t>3. 비교 연산자(=관계연산자)</t>
    <phoneticPr fontId="1" type="noConversion"/>
  </si>
  <si>
    <t xml:space="preserve"> '; &gt;=(이상), &gt;(초과), &lt;=(이하), &lt;(미만), =(같다), &lt;&gt;(같지않다)</t>
    <phoneticPr fontId="1" type="noConversion"/>
  </si>
  <si>
    <t>4. 텍스트 연결 연산자</t>
    <phoneticPr fontId="1" type="noConversion"/>
  </si>
  <si>
    <t xml:space="preserve">   '; &amp;</t>
    <phoneticPr fontId="1" type="noConversion"/>
  </si>
  <si>
    <t>=10&amp;"점"</t>
    <phoneticPr fontId="1" type="noConversion"/>
  </si>
  <si>
    <t>=100&amp;"km"</t>
    <phoneticPr fontId="1" type="noConversion"/>
  </si>
  <si>
    <t>5. 상대/절대/혼합 참조</t>
    <phoneticPr fontId="1" type="noConversion"/>
  </si>
  <si>
    <t xml:space="preserve"> ; 상대참조-주소값이 변동된다.</t>
    <phoneticPr fontId="1" type="noConversion"/>
  </si>
  <si>
    <t>예) =A1</t>
    <phoneticPr fontId="1" type="noConversion"/>
  </si>
  <si>
    <r>
      <t xml:space="preserve"> ; 절대참조-주소값이 변동되지 않는다.(주소값 고정)
   상대참조에서 절대참조로 변경시 </t>
    </r>
    <r>
      <rPr>
        <b/>
        <sz val="11"/>
        <color rgb="FFFF0000"/>
        <rFont val="맑은 고딕"/>
        <family val="3"/>
        <charset val="129"/>
        <scheme val="minor"/>
      </rPr>
      <t>F4</t>
    </r>
    <r>
      <rPr>
        <sz val="11"/>
        <color theme="1"/>
        <rFont val="맑은 고딕"/>
        <family val="2"/>
        <charset val="129"/>
        <scheme val="minor"/>
      </rPr>
      <t>를 누른다.</t>
    </r>
    <phoneticPr fontId="1" type="noConversion"/>
  </si>
  <si>
    <t>예) =$A$1</t>
    <phoneticPr fontId="1" type="noConversion"/>
  </si>
  <si>
    <t xml:space="preserve"> ; 혼합참조-주소값이 $가 없는 부분만 주소값이 변경된다.</t>
    <phoneticPr fontId="1" type="noConversion"/>
  </si>
  <si>
    <t>예) =$A1 OR =A$1</t>
    <phoneticPr fontId="1" type="noConversion"/>
  </si>
  <si>
    <t>상대참조</t>
    <phoneticPr fontId="1" type="noConversion"/>
  </si>
  <si>
    <t>=B26+C26</t>
    <phoneticPr fontId="1" type="noConversion"/>
  </si>
  <si>
    <t>=B27+C27</t>
    <phoneticPr fontId="1" type="noConversion"/>
  </si>
  <si>
    <t>=B28+C28</t>
    <phoneticPr fontId="1" type="noConversion"/>
  </si>
  <si>
    <t>절대참조</t>
    <phoneticPr fontId="1" type="noConversion"/>
  </si>
  <si>
    <t>점수에 비율을 곱하세요.</t>
    <phoneticPr fontId="1" type="noConversion"/>
  </si>
  <si>
    <t>비율</t>
    <phoneticPr fontId="1" type="noConversion"/>
  </si>
  <si>
    <t>=B33*$D$31</t>
    <phoneticPr fontId="1" type="noConversion"/>
  </si>
  <si>
    <t>=B34*$D$31</t>
    <phoneticPr fontId="1" type="noConversion"/>
  </si>
  <si>
    <t>=B35*$D$31</t>
    <phoneticPr fontId="1" type="noConversion"/>
  </si>
  <si>
    <t>수학/삼각함수</t>
    <phoneticPr fontId="1" type="noConversion"/>
  </si>
  <si>
    <t>데이터</t>
    <phoneticPr fontId="1" type="noConversion"/>
  </si>
  <si>
    <t>함수</t>
    <phoneticPr fontId="1" type="noConversion"/>
  </si>
  <si>
    <t>=ROUND(B3,2)</t>
    <phoneticPr fontId="1" type="noConversion"/>
  </si>
  <si>
    <t>=ROUND(B3,0)</t>
    <phoneticPr fontId="1" type="noConversion"/>
  </si>
  <si>
    <t>=ROUND(B3,-2)</t>
    <phoneticPr fontId="1" type="noConversion"/>
  </si>
  <si>
    <t>=ROUNDUP(B4,1)</t>
    <phoneticPr fontId="1" type="noConversion"/>
  </si>
  <si>
    <t>=ROUNDUP(B4,0)</t>
    <phoneticPr fontId="1" type="noConversion"/>
  </si>
  <si>
    <t>=ROUNDUP(B4,-1)</t>
    <phoneticPr fontId="1" type="noConversion"/>
  </si>
  <si>
    <t>=ROUNDDOWN(B5,2)</t>
    <phoneticPr fontId="1" type="noConversion"/>
  </si>
  <si>
    <t>=ROUNDDOWN(B5,0)</t>
    <phoneticPr fontId="1" type="noConversion"/>
  </si>
  <si>
    <t>=ROUNDDOWN(B5,-2)</t>
    <phoneticPr fontId="1" type="noConversion"/>
  </si>
  <si>
    <r>
      <t xml:space="preserve">  1   2   3   4   .    1    2    3   4
</t>
    </r>
    <r>
      <rPr>
        <sz val="14"/>
        <color rgb="FFFF0000"/>
        <rFont val="맑은 고딕"/>
        <family val="3"/>
        <charset val="129"/>
        <scheme val="minor"/>
      </rPr>
      <t xml:space="preserve"> -4</t>
    </r>
    <r>
      <rPr>
        <sz val="14"/>
        <color theme="1"/>
        <rFont val="맑은 고딕"/>
        <family val="3"/>
        <charset val="129"/>
        <scheme val="minor"/>
      </rPr>
      <t xml:space="preserve">  </t>
    </r>
    <r>
      <rPr>
        <sz val="14"/>
        <color rgb="FFFF0000"/>
        <rFont val="맑은 고딕"/>
        <family val="3"/>
        <charset val="129"/>
        <scheme val="minor"/>
      </rPr>
      <t>-3  -2  -1  0    1    2    3    4</t>
    </r>
    <phoneticPr fontId="1" type="noConversion"/>
  </si>
  <si>
    <t>※  자릿값(-1)--&gt;0, 자릿값(-2)--&gt;00 ,자릿값(-3)--&gt; 000, 자릿값(-4) ---&gt; 0000</t>
    <phoneticPr fontId="1" type="noConversion"/>
  </si>
  <si>
    <t>1. ROUND --&gt; 올림수 5이상이면 올림</t>
    <phoneticPr fontId="1" type="noConversion"/>
  </si>
  <si>
    <t xml:space="preserve"> ;=ROUND(값,자릿값)</t>
    <phoneticPr fontId="1" type="noConversion"/>
  </si>
  <si>
    <t>2. ROUNDUP  --&gt; 올림수가 있던 없던 무조건 올림</t>
    <phoneticPr fontId="1" type="noConversion"/>
  </si>
  <si>
    <t xml:space="preserve"> ;=ROUNDUP(값,자릿값)</t>
    <phoneticPr fontId="1" type="noConversion"/>
  </si>
  <si>
    <t>3. ROUNDDOWN --&gt;올림수가 있던 없던 무조건 절삭</t>
    <phoneticPr fontId="1" type="noConversion"/>
  </si>
  <si>
    <t xml:space="preserve"> ;=ROUNDDOWN(값,자릿값)</t>
    <phoneticPr fontId="1" type="noConversion"/>
  </si>
  <si>
    <t>4. SUM--&gt; 합계</t>
    <phoneticPr fontId="1" type="noConversion"/>
  </si>
  <si>
    <t xml:space="preserve"> ;=SUM(A1:A10)---&gt;범위에서 합계 계산</t>
    <phoneticPr fontId="1" type="noConversion"/>
  </si>
  <si>
    <t>5. PRODUCT--&gt;값을 곱한다.</t>
    <phoneticPr fontId="1" type="noConversion"/>
  </si>
  <si>
    <t xml:space="preserve"> ;=PRODUCT(A1,B1)----&gt; A1*B1를 계산</t>
    <phoneticPr fontId="1" type="noConversion"/>
  </si>
  <si>
    <t>6. SUMPRODUCT---&gt;배열의 곱을 합계 계산</t>
    <phoneticPr fontId="1" type="noConversion"/>
  </si>
  <si>
    <t xml:space="preserve"> ;=SUMPRODUCT(A1:A2,B1:B2)----&gt;A1*B1+A2*B2 계산</t>
    <phoneticPr fontId="1" type="noConversion"/>
  </si>
  <si>
    <t>지점</t>
    <phoneticPr fontId="1" type="noConversion"/>
  </si>
  <si>
    <t>단가</t>
    <phoneticPr fontId="1" type="noConversion"/>
  </si>
  <si>
    <t>판매량</t>
    <phoneticPr fontId="1" type="noConversion"/>
  </si>
  <si>
    <t>강동점</t>
    <phoneticPr fontId="1" type="noConversion"/>
  </si>
  <si>
    <t>판매량의 합계</t>
    <phoneticPr fontId="1" type="noConversion"/>
  </si>
  <si>
    <t>=SUM(C30:C33)</t>
    <phoneticPr fontId="1" type="noConversion"/>
  </si>
  <si>
    <t>강서점</t>
    <phoneticPr fontId="1" type="noConversion"/>
  </si>
  <si>
    <t>강동점= 단가*판매량</t>
    <phoneticPr fontId="1" type="noConversion"/>
  </si>
  <si>
    <t>=PRODUCT(B30,C30)</t>
    <phoneticPr fontId="1" type="noConversion"/>
  </si>
  <si>
    <t>강남정</t>
    <phoneticPr fontId="1" type="noConversion"/>
  </si>
  <si>
    <t>=SUMPRODUCT(B30:B33,C30:C33)</t>
    <phoneticPr fontId="1" type="noConversion"/>
  </si>
  <si>
    <t>강북점</t>
    <phoneticPr fontId="1" type="noConversion"/>
  </si>
  <si>
    <t>7. INT---&gt;정수로 표시한다.(정수:음수,0,양수)--&gt;소수점이 아니다.</t>
    <phoneticPr fontId="1" type="noConversion"/>
  </si>
  <si>
    <t xml:space="preserve"> ;=INT(소수점)-----&gt;소수점을 넘지 않는 가장 가까운 정수값</t>
    <phoneticPr fontId="1" type="noConversion"/>
  </si>
  <si>
    <t>=INT(B39)</t>
    <phoneticPr fontId="1" type="noConversion"/>
  </si>
  <si>
    <t>=INT(B42)</t>
    <phoneticPr fontId="1" type="noConversion"/>
  </si>
  <si>
    <t>8. TRUNC---&gt;ROUNDDOWN 과 같다</t>
    <phoneticPr fontId="1" type="noConversion"/>
  </si>
  <si>
    <t xml:space="preserve"> ;=TRUNC(값,자릿값)</t>
    <phoneticPr fontId="1" type="noConversion"/>
  </si>
  <si>
    <t>소수점 2째자리까지 표시</t>
    <phoneticPr fontId="1" type="noConversion"/>
  </si>
  <si>
    <t>=TRUNC(B48,2)</t>
    <phoneticPr fontId="1" type="noConversion"/>
  </si>
  <si>
    <t>9. MOD---&gt;나머지</t>
    <phoneticPr fontId="1" type="noConversion"/>
  </si>
  <si>
    <t xml:space="preserve"> ;=MOD(값,나눌값)</t>
    <phoneticPr fontId="1" type="noConversion"/>
  </si>
  <si>
    <t>13을 5로 나누면 나머지</t>
    <phoneticPr fontId="1" type="noConversion"/>
  </si>
  <si>
    <t>=MOD(B53,5)</t>
    <phoneticPr fontId="1" type="noConversion"/>
  </si>
  <si>
    <t xml:space="preserve">  ;=SUMIF(조건범위,조건,합계범위)</t>
    <phoneticPr fontId="1" type="noConversion"/>
  </si>
  <si>
    <t>예) 직책이 과장인 사람의 급여의 합계는</t>
    <phoneticPr fontId="1" type="noConversion"/>
  </si>
  <si>
    <t>논리함수</t>
    <phoneticPr fontId="1" type="noConversion"/>
  </si>
  <si>
    <t>1. 비교(관계)연산자</t>
    <phoneticPr fontId="1" type="noConversion"/>
  </si>
  <si>
    <t xml:space="preserve"> ; &gt;=(이상),&gt;(초과),&lt;=(이하),&lt;(미만),=(같다),&lt;&gt;(같지않다.)</t>
    <phoneticPr fontId="1" type="noConversion"/>
  </si>
  <si>
    <t>2. 논리연산자</t>
    <phoneticPr fontId="1" type="noConversion"/>
  </si>
  <si>
    <t xml:space="preserve"> ; AND(모든 조건이 만족하면 참)</t>
    <phoneticPr fontId="1" type="noConversion"/>
  </si>
  <si>
    <t xml:space="preserve"> ; OR(모든 조건중에서 1개이상 참이면 참)</t>
    <phoneticPr fontId="1" type="noConversion"/>
  </si>
  <si>
    <t>3. IF---&gt;(만약에 ~라면)</t>
    <phoneticPr fontId="1" type="noConversion"/>
  </si>
  <si>
    <t xml:space="preserve"> ; =IF(조건,참,거짓)</t>
    <phoneticPr fontId="1" type="noConversion"/>
  </si>
  <si>
    <t>=IF(A1&gt;=80,"합격","불합격")</t>
    <phoneticPr fontId="1" type="noConversion"/>
  </si>
  <si>
    <t>=IF(A1&gt;=80,10%,20%)</t>
    <phoneticPr fontId="1" type="noConversion"/>
  </si>
  <si>
    <t>=IF(AND(A1&gt;=80,B1&gt;=80),"합격","불합격")</t>
    <phoneticPr fontId="1" type="noConversion"/>
  </si>
  <si>
    <t>=IF(OR(A1&gt;=80,B1&gt;=80),"합격","불합격")</t>
    <phoneticPr fontId="1" type="noConversion"/>
  </si>
  <si>
    <t>=IF(A1&gt;=90,"매우잘함",IF(A1&gt;=80,"잘함",IF(A1&gt;=70,"보통","노력요함")))</t>
    <phoneticPr fontId="1" type="noConversion"/>
  </si>
  <si>
    <t>점수가 90점 이상이면 합격,아니면 불합격</t>
    <phoneticPr fontId="1" type="noConversion"/>
  </si>
  <si>
    <t>결과</t>
    <phoneticPr fontId="1" type="noConversion"/>
  </si>
  <si>
    <t>=IF(B24&gt;=90,"합격","불합격")</t>
    <phoneticPr fontId="1" type="noConversion"/>
  </si>
  <si>
    <t>부서가 AB로 시작하는 부서는 영업부, 나머지는 관리부</t>
    <phoneticPr fontId="1" type="noConversion"/>
  </si>
  <si>
    <t>코드</t>
    <phoneticPr fontId="1" type="noConversion"/>
  </si>
  <si>
    <t>ABC</t>
    <phoneticPr fontId="1" type="noConversion"/>
  </si>
  <si>
    <t>=IF(LEFT(B30,2)="AB","영업부","관리부")</t>
    <phoneticPr fontId="1" type="noConversion"/>
  </si>
  <si>
    <t>BBB</t>
    <phoneticPr fontId="1" type="noConversion"/>
  </si>
  <si>
    <t>ABD</t>
    <phoneticPr fontId="1" type="noConversion"/>
  </si>
  <si>
    <t>CCC</t>
    <phoneticPr fontId="1" type="noConversion"/>
  </si>
  <si>
    <t>4. IFERROR : 오류가 발생하면 지정한 값을 반환</t>
    <phoneticPr fontId="1" type="noConversion"/>
  </si>
  <si>
    <t>; =IFERROR(인수, 오류시 표시값)</t>
    <phoneticPr fontId="1" type="noConversion"/>
  </si>
  <si>
    <t>점수에 10을 곱하여 값이 나오면 값을 출력하고, 오류가 나오면
숫자가 아님을 출력하세요.</t>
    <phoneticPr fontId="1" type="noConversion"/>
  </si>
  <si>
    <t>=IFERROR(B39*10,"숫자가아님")</t>
    <phoneticPr fontId="1" type="noConversion"/>
  </si>
  <si>
    <t>구구단</t>
    <phoneticPr fontId="1" type="noConversion"/>
  </si>
  <si>
    <t>단</t>
    <phoneticPr fontId="1" type="noConversion"/>
  </si>
  <si>
    <t>=C$39*$B40</t>
    <phoneticPr fontId="1" type="noConversion"/>
  </si>
  <si>
    <t>혼합참조</t>
    <phoneticPr fontId="1" type="noConversion"/>
  </si>
  <si>
    <t>=VALUE(B55)</t>
    <phoneticPr fontId="1" type="noConversion"/>
  </si>
  <si>
    <t>=WORKDAY(B76,3)</t>
    <phoneticPr fontId="1" type="noConversion"/>
  </si>
  <si>
    <t>=SUMIF(B60:B65,"과장",C60:C65)</t>
    <phoneticPr fontId="1" type="noConversion"/>
  </si>
  <si>
    <t xml:space="preserve">  ;=SUMIF(합계범위,조건범위,조건,조건범위,조건,….....)</t>
    <phoneticPr fontId="1" type="noConversion"/>
  </si>
  <si>
    <t>생산부</t>
    <phoneticPr fontId="1" type="noConversion"/>
  </si>
  <si>
    <t>=SUMIFS(C72:C77,B72:B77,"과장",D72:D77,"영업부")</t>
    <phoneticPr fontId="1" type="noConversion"/>
  </si>
  <si>
    <t>=INDEX(B61:D63,2,2)</t>
    <phoneticPr fontId="1" type="noConversion"/>
  </si>
  <si>
    <t>=MATCH("배",B73:B75,0)</t>
    <phoneticPr fontId="1" type="noConversion"/>
  </si>
  <si>
    <t>=MATCH(B74,B73:B75,0)</t>
    <phoneticPr fontId="1" type="noConversion"/>
  </si>
  <si>
    <t>=MATCH(54,B78:B82,1)</t>
    <phoneticPr fontId="1" type="noConversion"/>
  </si>
  <si>
    <t>=MATCH(45,B85:B90,-1)</t>
    <phoneticPr fontId="1" type="noConversion"/>
  </si>
  <si>
    <t>9. ROWS---&gt; 범위의 행의 개수 반환</t>
    <phoneticPr fontId="1" type="noConversion"/>
  </si>
  <si>
    <t>5. IFS(조건1, 결과1, 조건2, 결과2, ..., 조건N, 결과N)</t>
    <phoneticPr fontId="1" type="noConversion"/>
  </si>
  <si>
    <t>점수가 90점 이상이면 매우잘함,80점 이상이면 잘함, 70점 이상이면 보통 ,나머지는 노력요함</t>
    <phoneticPr fontId="1" type="noConversion"/>
  </si>
  <si>
    <t>=IFS(B47&gt;=90,"매우잘함",B47&gt;=80,"잘함",B47&gt;=70,"보통",TRUE,"노력요함")</t>
    <phoneticPr fontId="1" type="noConversion"/>
  </si>
  <si>
    <t>6. SWITCH(표현식, 값1, 결과1, 값2, 결과2, ..., [기본값])</t>
    <phoneticPr fontId="1" type="noConversion"/>
  </si>
  <si>
    <t>접수일자</t>
    <phoneticPr fontId="1" type="noConversion"/>
  </si>
  <si>
    <t>수험생명</t>
    <phoneticPr fontId="1" type="noConversion"/>
  </si>
  <si>
    <t>비고</t>
    <phoneticPr fontId="1" type="noConversion"/>
  </si>
  <si>
    <t>임지훈</t>
    <phoneticPr fontId="33" type="noConversion"/>
  </si>
  <si>
    <t>원영만</t>
    <phoneticPr fontId="33" type="noConversion"/>
  </si>
  <si>
    <t>도지원</t>
    <phoneticPr fontId="33" type="noConversion"/>
  </si>
  <si>
    <t>감주영</t>
    <phoneticPr fontId="33" type="noConversion"/>
  </si>
  <si>
    <t>남정민</t>
    <phoneticPr fontId="33" type="noConversion"/>
  </si>
  <si>
    <t>임철수</t>
    <phoneticPr fontId="33" type="noConversion"/>
  </si>
  <si>
    <t>오성환</t>
    <phoneticPr fontId="33" type="noConversion"/>
  </si>
  <si>
    <t>정철환</t>
    <phoneticPr fontId="33" type="noConversion"/>
  </si>
  <si>
    <t>월이 3-5월은 정시,9월은 수시, 기외 공백으로으로 출력</t>
    <phoneticPr fontId="1" type="noConversion"/>
  </si>
  <si>
    <t>=SWITCH(MONTH(B57),3,"정시",4,"정시",5,"정시",9,"수시","")</t>
    <phoneticPr fontId="1" type="noConversion"/>
  </si>
  <si>
    <t>난수</t>
    <phoneticPr fontId="1" type="noConversion"/>
  </si>
  <si>
    <t>=RAND()</t>
    <phoneticPr fontId="1" type="noConversion"/>
  </si>
  <si>
    <t>=RANDBTWEEN(1,10)</t>
    <phoneticPr fontId="1" type="noConversion"/>
  </si>
  <si>
    <t>12. RAND------&gt; 0 이상 1 미만의 난수를 생성하는 함수(실수로 반환)</t>
    <phoneticPr fontId="1" type="noConversion"/>
  </si>
  <si>
    <t>13. RANDBETWEEN---&gt;지정한 두 수 사이의 정수형 난수(무작위 정수)-(정수로 반환)</t>
    <phoneticPr fontId="1" type="noConversion"/>
  </si>
  <si>
    <t>=RANDBETWEEN(하한값, 상한값)</t>
    <phoneticPr fontId="1" type="noConversion"/>
  </si>
  <si>
    <t>예) 직책이 과장이면서 부서가 영업부인 사람의 급여의 합계는</t>
    <phoneticPr fontId="1" type="noConversion"/>
  </si>
  <si>
    <t>목요일</t>
    <phoneticPr fontId="1" type="noConversion"/>
  </si>
  <si>
    <t>A</t>
    <phoneticPr fontId="1" type="noConversion"/>
  </si>
  <si>
    <t>금</t>
    <phoneticPr fontId="1" type="noConversion"/>
  </si>
  <si>
    <t>; 일련번호는 1900-01-01---&gt;일련번호(1)
                 1900-01-02---&gt;일련번호(2)
2026-01-23----&gt;일련번호(46045)</t>
    <phoneticPr fontId="1" type="noConversion"/>
  </si>
  <si>
    <t>=VLOOKUP(B16,$G$16:$H$20,2)</t>
    <phoneticPr fontId="1" type="noConversion"/>
  </si>
  <si>
    <t>=HLOOKUP(B35,$H$35:$L$36,2)</t>
    <phoneticPr fontId="1" type="noConversion"/>
  </si>
  <si>
    <t>=COLUMN(G97)</t>
    <phoneticPr fontId="1" type="noConversion"/>
  </si>
  <si>
    <t>=COLUMNS(H101:J102)</t>
    <phoneticPr fontId="1" type="noConversion"/>
  </si>
  <si>
    <t>G97</t>
    <phoneticPr fontId="1" type="noConversion"/>
  </si>
  <si>
    <t>=ROW(G105)</t>
    <phoneticPr fontId="1" type="noConversion"/>
  </si>
  <si>
    <t>G105</t>
    <phoneticPr fontId="1" type="noConversion"/>
  </si>
  <si>
    <t>=COLUMN(G97)---&gt;G97 셀의 열 개수</t>
    <phoneticPr fontId="1" type="noConversion"/>
  </si>
  <si>
    <t>=COLUMNS(H101:J102)---&gt;범위의 열개수</t>
    <phoneticPr fontId="1" type="noConversion"/>
  </si>
  <si>
    <t>=ROW(G105)---&gt;G105 셀의 행 개수</t>
    <phoneticPr fontId="1" type="noConversion"/>
  </si>
  <si>
    <t>=ROWS(H108:J109)</t>
    <phoneticPr fontId="1" type="noConversion"/>
  </si>
  <si>
    <t>=ROWS(H108:J109)---&gt;범위에서 행의 개수</t>
    <phoneticPr fontId="1" type="noConversion"/>
  </si>
  <si>
    <t>10. SUMIF ----&gt; 조건의 합계을 구하는 함수(조건이 1개)</t>
    <phoneticPr fontId="1" type="noConversion"/>
  </si>
  <si>
    <t>11. SUMIFS ----&gt; 여러 조건의 합계을 구하는 함수(조건이 2개 이상)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</si>
</sst>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8"/>
      <name val="돋움"/>
      <family val="3"/>
      <charset val="129"/>
    </font>
    <font>
      <sz val="18"/>
      <color theme="1"/>
      <name val="맑은 고딕"/>
      <family val="2"/>
      <charset val="129"/>
      <scheme val="minor"/>
    </font>
    <font>
      <sz val="16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>
      <alignment vertical="center"/>
    </xf>
  </cellStyleXfs>
  <cellXfs count="16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quotePrefix="1">
      <alignment vertical="center"/>
    </xf>
    <xf numFmtId="0" fontId="2" fillId="0" borderId="0" xfId="0" quotePrefix="1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quotePrefix="1" applyFont="1">
      <alignment vertical="center"/>
    </xf>
    <xf numFmtId="0" fontId="9" fillId="0" borderId="2" xfId="0" quotePrefix="1" applyFont="1" applyBorder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3" fillId="0" borderId="0" xfId="0" quotePrefix="1" applyFont="1">
      <alignment vertical="center"/>
    </xf>
    <xf numFmtId="14" fontId="14" fillId="0" borderId="1" xfId="0" applyNumberFormat="1" applyFont="1" applyBorder="1" applyAlignment="1">
      <alignment horizontal="center" vertical="center"/>
    </xf>
    <xf numFmtId="21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>
      <alignment vertical="center"/>
    </xf>
    <xf numFmtId="0" fontId="15" fillId="0" borderId="0" xfId="0" applyFo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2" fillId="0" borderId="1" xfId="0" quotePrefix="1" applyFont="1" applyBorder="1">
      <alignment vertical="center"/>
    </xf>
    <xf numFmtId="0" fontId="0" fillId="6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20" fillId="0" borderId="0" xfId="0" quotePrefix="1" applyFont="1" applyAlignment="1">
      <alignment horizontal="left" vertical="center" wrapText="1"/>
    </xf>
    <xf numFmtId="0" fontId="20" fillId="0" borderId="0" xfId="0" quotePrefix="1" applyFont="1">
      <alignment vertical="center"/>
    </xf>
    <xf numFmtId="0" fontId="21" fillId="0" borderId="0" xfId="0" quotePrefix="1" applyFont="1">
      <alignment vertical="center"/>
    </xf>
    <xf numFmtId="0" fontId="22" fillId="0" borderId="0" xfId="0" quotePrefix="1" applyFont="1">
      <alignment vertical="center"/>
    </xf>
    <xf numFmtId="0" fontId="23" fillId="0" borderId="0" xfId="0" quotePrefix="1" applyFont="1">
      <alignment vertical="center"/>
    </xf>
    <xf numFmtId="0" fontId="19" fillId="0" borderId="0" xfId="0" applyFont="1">
      <alignment vertical="center"/>
    </xf>
    <xf numFmtId="0" fontId="24" fillId="0" borderId="0" xfId="0" applyFo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3" fillId="0" borderId="1" xfId="0" applyFont="1" applyBorder="1">
      <alignment vertical="center"/>
    </xf>
    <xf numFmtId="0" fontId="25" fillId="0" borderId="0" xfId="0" quotePrefix="1" applyFont="1">
      <alignment vertical="center"/>
    </xf>
    <xf numFmtId="0" fontId="26" fillId="0" borderId="0" xfId="0" applyFont="1">
      <alignment vertical="center"/>
    </xf>
    <xf numFmtId="0" fontId="18" fillId="2" borderId="5" xfId="0" applyFont="1" applyFill="1" applyBorder="1" applyAlignment="1">
      <alignment horizontal="center" vertical="center"/>
    </xf>
    <xf numFmtId="0" fontId="26" fillId="0" borderId="0" xfId="0" quotePrefix="1" applyFont="1">
      <alignment vertical="center"/>
    </xf>
    <xf numFmtId="0" fontId="19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" fillId="0" borderId="1" xfId="0" applyFont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3" fillId="0" borderId="1" xfId="0" quotePrefix="1" applyFont="1" applyBorder="1">
      <alignment vertical="center"/>
    </xf>
    <xf numFmtId="0" fontId="13" fillId="0" borderId="0" xfId="0" applyFont="1" applyAlignment="1">
      <alignment horizontal="left" vertical="center"/>
    </xf>
    <xf numFmtId="41" fontId="14" fillId="0" borderId="1" xfId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9" fillId="0" borderId="0" xfId="0" applyFo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" fillId="0" borderId="8" xfId="0" quotePrefix="1" applyFont="1" applyBorder="1">
      <alignment vertical="center"/>
    </xf>
    <xf numFmtId="0" fontId="0" fillId="0" borderId="0" xfId="0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2" fillId="0" borderId="5" xfId="0" applyFont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20" xfId="0" applyBorder="1">
      <alignment vertical="center"/>
    </xf>
    <xf numFmtId="0" fontId="14" fillId="3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22" fontId="14" fillId="3" borderId="1" xfId="0" applyNumberFormat="1" applyFont="1" applyFill="1" applyBorder="1" applyAlignment="1">
      <alignment horizontal="left" vertical="center"/>
    </xf>
    <xf numFmtId="0" fontId="14" fillId="3" borderId="1" xfId="0" applyFont="1" applyFill="1" applyBorder="1">
      <alignment vertical="center"/>
    </xf>
    <xf numFmtId="14" fontId="14" fillId="3" borderId="5" xfId="0" applyNumberFormat="1" applyFont="1" applyFill="1" applyBorder="1" applyAlignment="1">
      <alignment horizontal="left" vertical="center"/>
    </xf>
    <xf numFmtId="14" fontId="12" fillId="0" borderId="0" xfId="0" applyNumberFormat="1" applyFont="1">
      <alignment vertical="center"/>
    </xf>
    <xf numFmtId="0" fontId="0" fillId="3" borderId="1" xfId="0" applyFill="1" applyBorder="1">
      <alignment vertical="center"/>
    </xf>
    <xf numFmtId="0" fontId="14" fillId="0" borderId="3" xfId="0" applyFont="1" applyBorder="1" applyAlignment="1">
      <alignment horizontal="center" vertical="center"/>
    </xf>
    <xf numFmtId="0" fontId="13" fillId="0" borderId="4" xfId="0" quotePrefix="1" applyFont="1" applyBorder="1">
      <alignment vertical="center"/>
    </xf>
    <xf numFmtId="0" fontId="28" fillId="2" borderId="21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41" fontId="14" fillId="3" borderId="1" xfId="0" applyNumberFormat="1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0" fontId="12" fillId="2" borderId="1" xfId="0" applyFont="1" applyFill="1" applyBorder="1">
      <alignment vertical="center"/>
    </xf>
    <xf numFmtId="0" fontId="12" fillId="0" borderId="1" xfId="0" applyFont="1" applyBorder="1">
      <alignment vertical="center"/>
    </xf>
    <xf numFmtId="0" fontId="12" fillId="3" borderId="1" xfId="0" applyFont="1" applyFill="1" applyBorder="1">
      <alignment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29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0" fillId="4" borderId="9" xfId="0" applyFill="1" applyBorder="1">
      <alignment vertical="center"/>
    </xf>
    <xf numFmtId="0" fontId="0" fillId="7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34" fillId="0" borderId="0" xfId="0" applyFont="1">
      <alignment vertical="center"/>
    </xf>
    <xf numFmtId="0" fontId="29" fillId="2" borderId="12" xfId="2" applyFont="1" applyFill="1" applyBorder="1" applyAlignment="1">
      <alignment horizontal="center" vertical="center"/>
    </xf>
    <xf numFmtId="0" fontId="29" fillId="2" borderId="13" xfId="2" applyFont="1" applyFill="1" applyBorder="1" applyAlignment="1">
      <alignment horizontal="center" vertical="center"/>
    </xf>
    <xf numFmtId="0" fontId="29" fillId="9" borderId="14" xfId="2" applyFont="1" applyFill="1" applyBorder="1" applyAlignment="1">
      <alignment horizontal="center" vertical="center"/>
    </xf>
    <xf numFmtId="14" fontId="35" fillId="0" borderId="15" xfId="3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/>
    </xf>
    <xf numFmtId="0" fontId="29" fillId="3" borderId="16" xfId="2" applyFont="1" applyFill="1" applyBorder="1" applyAlignment="1">
      <alignment horizontal="left" vertical="center"/>
    </xf>
    <xf numFmtId="14" fontId="35" fillId="0" borderId="17" xfId="3" applyNumberFormat="1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22" fillId="0" borderId="0" xfId="0" quotePrefix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" fontId="14" fillId="3" borderId="1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0" fillId="0" borderId="2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3" fillId="0" borderId="2" xfId="0" quotePrefix="1" applyFont="1" applyBorder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</cellXfs>
  <cellStyles count="4">
    <cellStyle name="쉼표 [0]" xfId="1" builtinId="6"/>
    <cellStyle name="표준" xfId="0" builtinId="0"/>
    <cellStyle name="표준 2 3" xfId="3" xr:uid="{93693747-9E44-4A93-A7EB-F6C3706F1156}"/>
    <cellStyle name="표준 3 2" xfId="2" xr:uid="{4ECE4354-48A6-48E4-A949-E0B8371BA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1465385</xdr:colOff>
      <xdr:row>12</xdr:row>
      <xdr:rowOff>373673</xdr:rowOff>
    </xdr:from>
    <xdr:to>
      <xdr:col>5</xdr:col>
      <xdr:colOff>549519</xdr:colOff>
      <xdr:row>13</xdr:row>
      <xdr:rowOff>74342</xdr:rowOff>
    </xdr:to>
    <xdr:sp macro="" textlink="">
      <xdr:nvSpPr>
        <xdr:cNvPr id="2" name="사각형 설명선 2">
          <a:extLst>
            <a:ext uri="{FF2B5EF4-FFF2-40B4-BE49-F238E27FC236}">
              <a16:creationId xmlns:a16="http://schemas.microsoft.com/office/drawing/2014/main" id="{17AADC87-7F4C-4F2B-9195-FCBDFC2CC038}"/>
            </a:ext>
          </a:extLst>
        </xdr:cNvPr>
        <xdr:cNvSpPr/>
      </xdr:nvSpPr>
      <xdr:spPr>
        <a:xfrm>
          <a:off x="5608760" y="3688373"/>
          <a:ext cx="1532059" cy="357894"/>
        </a:xfrm>
        <a:prstGeom prst="wedgeRectCallout">
          <a:avLst>
            <a:gd name="adj1" fmla="val -76864"/>
            <a:gd name="adj2" fmla="val -11446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>
              <a:solidFill>
                <a:srgbClr val="FF0000"/>
              </a:solidFill>
            </a:rPr>
            <a:t>자릿값</a:t>
          </a:r>
        </a:p>
      </xdr:txBody>
    </xdr:sp>
    <xdr:clientData/>
  </xdr:twoCellAnchor>
  <xdr:twoCellAnchor>
    <xdr:from>
      <xdr:col>4</xdr:col>
      <xdr:colOff>1458058</xdr:colOff>
      <xdr:row>11</xdr:row>
      <xdr:rowOff>102577</xdr:rowOff>
    </xdr:from>
    <xdr:to>
      <xdr:col>5</xdr:col>
      <xdr:colOff>527539</xdr:colOff>
      <xdr:row>12</xdr:row>
      <xdr:rowOff>219808</xdr:rowOff>
    </xdr:to>
    <xdr:sp macro="" textlink="">
      <xdr:nvSpPr>
        <xdr:cNvPr id="3" name="사각형 설명선 3">
          <a:extLst>
            <a:ext uri="{FF2B5EF4-FFF2-40B4-BE49-F238E27FC236}">
              <a16:creationId xmlns:a16="http://schemas.microsoft.com/office/drawing/2014/main" id="{563D93EE-803D-405F-B115-EA0830F59C5B}"/>
            </a:ext>
          </a:extLst>
        </xdr:cNvPr>
        <xdr:cNvSpPr/>
      </xdr:nvSpPr>
      <xdr:spPr>
        <a:xfrm>
          <a:off x="5601433" y="3160102"/>
          <a:ext cx="1517406" cy="374406"/>
        </a:xfrm>
        <a:prstGeom prst="wedgeRectCallout">
          <a:avLst>
            <a:gd name="adj1" fmla="val -81533"/>
            <a:gd name="adj2" fmla="val 3299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>
              <a:solidFill>
                <a:srgbClr val="FF0000"/>
              </a:solidFill>
            </a:rPr>
            <a:t>숫자값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2087-7F83-49C9-8E41-E57F5C1717B4}">
  <dimension ref="A1:G44"/>
  <sheetViews>
    <sheetView topLeftCell="A37" zoomScale="220" zoomScaleNormal="220" workbookViewId="0">
      <selection activeCell="C40" sqref="C40:E44"/>
    </sheetView>
  </sheetViews>
  <sheetFormatPr defaultRowHeight="17.399999999999999" x14ac:dyDescent="0.4"/>
  <cols>
    <col min="3" max="3" width="9.796875" customWidth="1"/>
    <col min="6" max="6" width="12.59765625" customWidth="1"/>
  </cols>
  <sheetData>
    <row r="1" spans="1:7" x14ac:dyDescent="0.4">
      <c r="A1" t="s">
        <v>292</v>
      </c>
    </row>
    <row r="2" spans="1:7" x14ac:dyDescent="0.4">
      <c r="A2" s="2" t="s">
        <v>293</v>
      </c>
    </row>
    <row r="3" spans="1:7" x14ac:dyDescent="0.4">
      <c r="A3" s="2" t="s">
        <v>294</v>
      </c>
    </row>
    <row r="4" spans="1:7" x14ac:dyDescent="0.4">
      <c r="A4" s="2" t="s">
        <v>295</v>
      </c>
    </row>
    <row r="5" spans="1:7" x14ac:dyDescent="0.4">
      <c r="A5" t="s">
        <v>296</v>
      </c>
      <c r="B5" s="3" t="s">
        <v>297</v>
      </c>
    </row>
    <row r="7" spans="1:7" x14ac:dyDescent="0.4">
      <c r="A7" t="s">
        <v>298</v>
      </c>
    </row>
    <row r="8" spans="1:7" x14ac:dyDescent="0.4">
      <c r="A8" s="2" t="s">
        <v>299</v>
      </c>
    </row>
    <row r="9" spans="1:7" ht="18" thickBot="1" x14ac:dyDescent="0.45">
      <c r="A9" t="s">
        <v>300</v>
      </c>
    </row>
    <row r="10" spans="1:7" ht="18" thickBot="1" x14ac:dyDescent="0.45">
      <c r="D10" s="78" t="s">
        <v>154</v>
      </c>
    </row>
    <row r="11" spans="1:7" ht="18" thickBot="1" x14ac:dyDescent="0.45">
      <c r="C11" s="73" t="s">
        <v>14</v>
      </c>
      <c r="D11" s="76"/>
    </row>
    <row r="12" spans="1:7" x14ac:dyDescent="0.4">
      <c r="A12" t="s">
        <v>301</v>
      </c>
    </row>
    <row r="13" spans="1:7" x14ac:dyDescent="0.4">
      <c r="A13" t="s">
        <v>302</v>
      </c>
    </row>
    <row r="15" spans="1:7" ht="18" thickBot="1" x14ac:dyDescent="0.45">
      <c r="A15" t="s">
        <v>303</v>
      </c>
    </row>
    <row r="16" spans="1:7" ht="18" thickBot="1" x14ac:dyDescent="0.45">
      <c r="A16" t="s">
        <v>304</v>
      </c>
      <c r="D16" s="78" t="s">
        <v>154</v>
      </c>
      <c r="G16" s="78" t="s">
        <v>154</v>
      </c>
    </row>
    <row r="17" spans="1:7" ht="18" thickBot="1" x14ac:dyDescent="0.45">
      <c r="A17" t="s">
        <v>18</v>
      </c>
      <c r="B17" s="74"/>
      <c r="C17" s="73" t="s">
        <v>305</v>
      </c>
      <c r="D17" s="76"/>
      <c r="E17" s="74"/>
      <c r="F17" s="73" t="s">
        <v>306</v>
      </c>
      <c r="G17" s="76"/>
    </row>
    <row r="20" spans="1:7" x14ac:dyDescent="0.4">
      <c r="A20" t="s">
        <v>307</v>
      </c>
    </row>
    <row r="21" spans="1:7" x14ac:dyDescent="0.4">
      <c r="A21" t="s">
        <v>308</v>
      </c>
      <c r="D21" s="7" t="s">
        <v>309</v>
      </c>
    </row>
    <row r="22" spans="1:7" ht="47.25" customHeight="1" x14ac:dyDescent="0.4">
      <c r="A22" s="144" t="s">
        <v>310</v>
      </c>
      <c r="B22" s="144"/>
      <c r="C22" s="144"/>
      <c r="D22" s="144"/>
      <c r="E22" s="144"/>
      <c r="F22" s="7" t="s">
        <v>311</v>
      </c>
    </row>
    <row r="23" spans="1:7" x14ac:dyDescent="0.4">
      <c r="A23" t="s">
        <v>312</v>
      </c>
      <c r="G23" s="7" t="s">
        <v>313</v>
      </c>
    </row>
    <row r="24" spans="1:7" x14ac:dyDescent="0.4">
      <c r="B24" s="61" t="s">
        <v>314</v>
      </c>
    </row>
    <row r="25" spans="1:7" x14ac:dyDescent="0.4">
      <c r="B25" s="62" t="s">
        <v>0</v>
      </c>
      <c r="C25" s="62" t="s">
        <v>3</v>
      </c>
      <c r="D25" s="62" t="s">
        <v>2</v>
      </c>
    </row>
    <row r="26" spans="1:7" x14ac:dyDescent="0.4">
      <c r="B26" s="6">
        <v>100</v>
      </c>
      <c r="C26" s="6">
        <v>90</v>
      </c>
      <c r="D26" s="75"/>
      <c r="E26" s="3" t="s">
        <v>315</v>
      </c>
    </row>
    <row r="27" spans="1:7" x14ac:dyDescent="0.4">
      <c r="B27" s="6">
        <v>30</v>
      </c>
      <c r="C27" s="6">
        <v>40</v>
      </c>
      <c r="D27" s="75"/>
      <c r="E27" s="3" t="s">
        <v>316</v>
      </c>
    </row>
    <row r="28" spans="1:7" x14ac:dyDescent="0.4">
      <c r="B28" s="6">
        <v>10</v>
      </c>
      <c r="C28" s="6">
        <v>50</v>
      </c>
      <c r="D28" s="75"/>
      <c r="E28" s="3" t="s">
        <v>317</v>
      </c>
    </row>
    <row r="30" spans="1:7" ht="18" thickBot="1" x14ac:dyDescent="0.45">
      <c r="B30" s="61" t="s">
        <v>318</v>
      </c>
      <c r="C30" t="s">
        <v>319</v>
      </c>
    </row>
    <row r="31" spans="1:7" ht="18" thickBot="1" x14ac:dyDescent="0.45">
      <c r="C31" s="121" t="s">
        <v>320</v>
      </c>
      <c r="D31" s="119">
        <v>10</v>
      </c>
    </row>
    <row r="32" spans="1:7" x14ac:dyDescent="0.4">
      <c r="B32" s="62" t="s">
        <v>27</v>
      </c>
      <c r="C32" s="120" t="s">
        <v>2</v>
      </c>
    </row>
    <row r="33" spans="2:6" x14ac:dyDescent="0.4">
      <c r="B33" s="1">
        <v>20</v>
      </c>
      <c r="C33" s="75"/>
      <c r="D33" s="3" t="s">
        <v>321</v>
      </c>
    </row>
    <row r="34" spans="2:6" x14ac:dyDescent="0.4">
      <c r="B34" s="1">
        <v>30</v>
      </c>
      <c r="C34" s="75"/>
      <c r="D34" s="3" t="s">
        <v>322</v>
      </c>
    </row>
    <row r="35" spans="2:6" x14ac:dyDescent="0.4">
      <c r="B35" s="1">
        <v>40</v>
      </c>
      <c r="C35" s="75"/>
      <c r="D35" s="3" t="s">
        <v>323</v>
      </c>
    </row>
    <row r="37" spans="2:6" ht="18" thickBot="1" x14ac:dyDescent="0.45">
      <c r="B37" s="77" t="s">
        <v>406</v>
      </c>
    </row>
    <row r="38" spans="2:6" ht="18" thickBot="1" x14ac:dyDescent="0.45">
      <c r="B38" s="78" t="s">
        <v>403</v>
      </c>
      <c r="C38" s="145" t="s">
        <v>404</v>
      </c>
      <c r="D38" s="146"/>
      <c r="E38" s="147"/>
    </row>
    <row r="39" spans="2:6" x14ac:dyDescent="0.4">
      <c r="B39" s="79"/>
      <c r="C39" s="122">
        <v>1</v>
      </c>
      <c r="D39" s="122">
        <v>3</v>
      </c>
      <c r="E39" s="122">
        <v>4</v>
      </c>
    </row>
    <row r="40" spans="2:6" x14ac:dyDescent="0.4">
      <c r="B40" s="123">
        <v>1</v>
      </c>
      <c r="C40" s="75"/>
      <c r="D40" s="75"/>
      <c r="E40" s="75"/>
      <c r="F40" s="3" t="s">
        <v>405</v>
      </c>
    </row>
    <row r="41" spans="2:6" x14ac:dyDescent="0.4">
      <c r="B41" s="123">
        <v>2</v>
      </c>
      <c r="C41" s="75"/>
      <c r="D41" s="75"/>
      <c r="E41" s="75"/>
    </row>
    <row r="42" spans="2:6" x14ac:dyDescent="0.4">
      <c r="B42" s="123">
        <v>3</v>
      </c>
      <c r="C42" s="75"/>
      <c r="D42" s="75"/>
      <c r="E42" s="75"/>
    </row>
    <row r="43" spans="2:6" x14ac:dyDescent="0.4">
      <c r="B43" s="123">
        <v>4</v>
      </c>
      <c r="C43" s="75"/>
      <c r="D43" s="75"/>
      <c r="E43" s="75"/>
    </row>
    <row r="44" spans="2:6" ht="18" thickBot="1" x14ac:dyDescent="0.45">
      <c r="B44" s="124">
        <v>5</v>
      </c>
      <c r="C44" s="75"/>
      <c r="D44" s="75"/>
      <c r="E44" s="75"/>
    </row>
  </sheetData>
  <mergeCells count="2">
    <mergeCell ref="A22:E22"/>
    <mergeCell ref="C38:E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0"/>
  <sheetViews>
    <sheetView topLeftCell="A79" zoomScale="190" zoomScaleNormal="190" workbookViewId="0">
      <selection activeCell="C80" sqref="C80"/>
    </sheetView>
  </sheetViews>
  <sheetFormatPr defaultRowHeight="17.399999999999999" x14ac:dyDescent="0.4"/>
  <cols>
    <col min="2" max="2" width="21.19921875" bestFit="1" customWidth="1"/>
    <col min="3" max="3" width="22" customWidth="1"/>
    <col min="4" max="5" width="9.19921875" bestFit="1" customWidth="1"/>
    <col min="7" max="7" width="14.09765625" bestFit="1" customWidth="1"/>
  </cols>
  <sheetData>
    <row r="1" spans="1:7" ht="39.6" x14ac:dyDescent="0.4">
      <c r="A1" s="18" t="s">
        <v>147</v>
      </c>
    </row>
    <row r="3" spans="1:7" ht="21" x14ac:dyDescent="0.4">
      <c r="A3" s="19" t="s">
        <v>148</v>
      </c>
      <c r="B3" s="19"/>
      <c r="C3" s="19"/>
      <c r="D3" s="19"/>
      <c r="E3" s="19"/>
      <c r="F3" s="19"/>
      <c r="G3" s="19"/>
    </row>
    <row r="4" spans="1:7" ht="21" x14ac:dyDescent="0.4">
      <c r="A4" s="20" t="s">
        <v>149</v>
      </c>
      <c r="B4" s="19"/>
      <c r="C4" s="19"/>
      <c r="D4" s="19"/>
      <c r="E4" s="19"/>
      <c r="F4" s="19"/>
      <c r="G4" s="19"/>
    </row>
    <row r="5" spans="1:7" ht="21" x14ac:dyDescent="0.4">
      <c r="A5" s="19"/>
      <c r="B5" s="19"/>
      <c r="C5" s="19"/>
      <c r="D5" s="19"/>
      <c r="E5" s="21" t="s">
        <v>154</v>
      </c>
      <c r="F5" s="19"/>
      <c r="G5" s="19"/>
    </row>
    <row r="6" spans="1:7" ht="21" x14ac:dyDescent="0.4">
      <c r="A6" s="22"/>
      <c r="B6" s="21" t="s">
        <v>150</v>
      </c>
      <c r="C6" s="19"/>
      <c r="D6" s="23" t="s">
        <v>151</v>
      </c>
      <c r="E6" s="80"/>
      <c r="F6" s="24" t="s">
        <v>155</v>
      </c>
      <c r="G6" s="19"/>
    </row>
    <row r="7" spans="1:7" ht="21" x14ac:dyDescent="0.4">
      <c r="A7" s="19"/>
      <c r="B7" s="25">
        <v>45797</v>
      </c>
      <c r="C7" s="19"/>
      <c r="D7" s="23" t="s">
        <v>152</v>
      </c>
      <c r="E7" s="80"/>
      <c r="F7" s="24" t="s">
        <v>156</v>
      </c>
      <c r="G7" s="19"/>
    </row>
    <row r="8" spans="1:7" ht="21" x14ac:dyDescent="0.4">
      <c r="A8" s="19"/>
      <c r="B8" s="19"/>
      <c r="C8" s="19"/>
      <c r="D8" s="23" t="s">
        <v>153</v>
      </c>
      <c r="E8" s="80"/>
      <c r="F8" s="24" t="s">
        <v>157</v>
      </c>
      <c r="G8" s="19"/>
    </row>
    <row r="9" spans="1:7" ht="21" x14ac:dyDescent="0.4">
      <c r="A9" s="19"/>
      <c r="B9" s="19"/>
      <c r="C9" s="19"/>
      <c r="D9" s="19"/>
      <c r="E9" s="19"/>
      <c r="F9" s="19"/>
      <c r="G9" s="19"/>
    </row>
    <row r="10" spans="1:7" ht="21" x14ac:dyDescent="0.4">
      <c r="A10" s="19" t="s">
        <v>158</v>
      </c>
      <c r="B10" s="19"/>
      <c r="C10" s="19"/>
      <c r="D10" s="19"/>
      <c r="E10" s="19"/>
      <c r="F10" s="19"/>
      <c r="G10" s="19"/>
    </row>
    <row r="11" spans="1:7" ht="21" x14ac:dyDescent="0.4">
      <c r="A11" s="20" t="s">
        <v>159</v>
      </c>
      <c r="B11" s="19"/>
      <c r="C11" s="19"/>
      <c r="D11" s="19"/>
      <c r="E11" s="19"/>
      <c r="F11" s="19"/>
      <c r="G11" s="19"/>
    </row>
    <row r="12" spans="1:7" ht="21" x14ac:dyDescent="0.4">
      <c r="A12" s="19"/>
      <c r="B12" s="19"/>
      <c r="C12" s="19"/>
      <c r="D12" s="19"/>
      <c r="E12" s="21" t="s">
        <v>154</v>
      </c>
      <c r="F12" s="19"/>
      <c r="G12" s="19"/>
    </row>
    <row r="13" spans="1:7" ht="21" x14ac:dyDescent="0.4">
      <c r="A13" s="19"/>
      <c r="B13" s="21" t="s">
        <v>160</v>
      </c>
      <c r="C13" s="19"/>
      <c r="D13" s="23" t="s">
        <v>161</v>
      </c>
      <c r="E13" s="80"/>
      <c r="F13" s="24" t="s">
        <v>164</v>
      </c>
      <c r="G13" s="19"/>
    </row>
    <row r="14" spans="1:7" ht="21" x14ac:dyDescent="0.4">
      <c r="A14" s="19"/>
      <c r="B14" s="26">
        <v>0.4309027777777778</v>
      </c>
      <c r="C14" s="19"/>
      <c r="D14" s="23" t="s">
        <v>162</v>
      </c>
      <c r="E14" s="80"/>
      <c r="F14" s="24" t="s">
        <v>165</v>
      </c>
      <c r="G14" s="19"/>
    </row>
    <row r="15" spans="1:7" ht="21" x14ac:dyDescent="0.4">
      <c r="A15" s="19"/>
      <c r="B15" s="19"/>
      <c r="C15" s="19"/>
      <c r="D15" s="23" t="s">
        <v>163</v>
      </c>
      <c r="E15" s="80"/>
      <c r="F15" s="24" t="s">
        <v>166</v>
      </c>
      <c r="G15" s="19"/>
    </row>
    <row r="16" spans="1:7" ht="21" x14ac:dyDescent="0.4">
      <c r="A16" s="19"/>
      <c r="B16" s="19"/>
      <c r="C16" s="19"/>
      <c r="D16" s="19"/>
      <c r="E16" s="19"/>
      <c r="F16" s="19"/>
      <c r="G16" s="19"/>
    </row>
    <row r="17" spans="1:7" ht="21" x14ac:dyDescent="0.4">
      <c r="A17" s="19" t="s">
        <v>171</v>
      </c>
      <c r="B17" s="19"/>
      <c r="C17" s="19"/>
      <c r="D17" s="19"/>
      <c r="E17" s="19"/>
      <c r="F17" s="19"/>
      <c r="G17" s="19"/>
    </row>
    <row r="18" spans="1:7" ht="21" x14ac:dyDescent="0.4">
      <c r="A18" s="20" t="s">
        <v>167</v>
      </c>
      <c r="B18" s="19"/>
      <c r="C18" s="19"/>
      <c r="D18" s="19"/>
      <c r="E18" s="19"/>
      <c r="F18" s="19"/>
      <c r="G18" s="19"/>
    </row>
    <row r="19" spans="1:7" ht="21" x14ac:dyDescent="0.4">
      <c r="A19" s="19"/>
      <c r="B19" s="19"/>
      <c r="C19" s="81" t="s">
        <v>154</v>
      </c>
      <c r="D19" s="19"/>
      <c r="E19" s="19"/>
      <c r="F19" s="19"/>
      <c r="G19" s="19"/>
    </row>
    <row r="20" spans="1:7" ht="21" x14ac:dyDescent="0.4">
      <c r="A20" s="19"/>
      <c r="B20" s="83" t="s">
        <v>18</v>
      </c>
      <c r="C20" s="82"/>
      <c r="D20" s="24" t="s">
        <v>168</v>
      </c>
      <c r="E20" s="19"/>
      <c r="F20" s="19"/>
      <c r="G20" s="19"/>
    </row>
    <row r="21" spans="1:7" ht="21" x14ac:dyDescent="0.4">
      <c r="A21" s="19"/>
      <c r="B21" s="19"/>
      <c r="C21" s="19"/>
      <c r="D21" s="19"/>
      <c r="E21" s="19"/>
      <c r="F21" s="19"/>
      <c r="G21" s="19"/>
    </row>
    <row r="22" spans="1:7" ht="21" x14ac:dyDescent="0.4">
      <c r="A22" s="19" t="s">
        <v>172</v>
      </c>
      <c r="B22" s="19"/>
      <c r="C22" s="19"/>
      <c r="D22" s="19"/>
      <c r="E22" s="19"/>
      <c r="F22" s="19"/>
      <c r="G22" s="19"/>
    </row>
    <row r="23" spans="1:7" ht="21" x14ac:dyDescent="0.4">
      <c r="A23" s="20" t="s">
        <v>169</v>
      </c>
      <c r="B23" s="19"/>
      <c r="C23" s="19"/>
      <c r="D23" s="19"/>
      <c r="E23" s="19"/>
      <c r="F23" s="19"/>
      <c r="G23" s="19"/>
    </row>
    <row r="24" spans="1:7" ht="21" x14ac:dyDescent="0.4">
      <c r="A24" s="19"/>
      <c r="B24" s="19"/>
      <c r="C24" s="81" t="s">
        <v>154</v>
      </c>
      <c r="D24" s="19"/>
      <c r="E24" s="19"/>
      <c r="F24" s="19"/>
      <c r="G24" s="19"/>
    </row>
    <row r="25" spans="1:7" ht="21" x14ac:dyDescent="0.4">
      <c r="A25" s="19"/>
      <c r="B25" s="83" t="s">
        <v>18</v>
      </c>
      <c r="C25" s="137"/>
      <c r="D25" s="24" t="s">
        <v>170</v>
      </c>
      <c r="E25" s="19"/>
      <c r="F25" s="19"/>
      <c r="G25" s="19"/>
    </row>
    <row r="26" spans="1:7" ht="21" x14ac:dyDescent="0.4">
      <c r="A26" s="19"/>
      <c r="B26" s="19"/>
      <c r="C26" s="19"/>
      <c r="D26" s="19"/>
      <c r="E26" s="19"/>
      <c r="F26" s="19"/>
      <c r="G26" s="19"/>
    </row>
    <row r="27" spans="1:7" ht="21" x14ac:dyDescent="0.4">
      <c r="A27" s="19" t="s">
        <v>173</v>
      </c>
      <c r="B27" s="19"/>
      <c r="C27" s="19"/>
      <c r="D27" s="19"/>
      <c r="E27" s="19"/>
      <c r="F27" s="19"/>
      <c r="G27" s="19"/>
    </row>
    <row r="28" spans="1:7" ht="21" x14ac:dyDescent="0.4">
      <c r="A28" s="20" t="s">
        <v>174</v>
      </c>
      <c r="B28" s="19"/>
      <c r="C28" s="19"/>
      <c r="D28" s="19"/>
      <c r="E28" s="19"/>
      <c r="F28" s="19"/>
      <c r="G28" s="19"/>
    </row>
    <row r="29" spans="1:7" ht="21" x14ac:dyDescent="0.4">
      <c r="A29" s="19"/>
      <c r="B29" s="81" t="s">
        <v>154</v>
      </c>
      <c r="C29" s="19"/>
      <c r="D29" s="19"/>
      <c r="E29" s="19"/>
      <c r="F29" s="19"/>
      <c r="G29" s="19"/>
    </row>
    <row r="30" spans="1:7" ht="21" x14ac:dyDescent="0.4">
      <c r="A30" s="19" t="s">
        <v>175</v>
      </c>
      <c r="B30" s="82"/>
      <c r="C30" s="24" t="s">
        <v>176</v>
      </c>
      <c r="D30" s="19"/>
      <c r="E30" s="19"/>
      <c r="F30" s="19"/>
      <c r="G30" s="19"/>
    </row>
    <row r="31" spans="1:7" ht="21" x14ac:dyDescent="0.4">
      <c r="A31" s="19"/>
      <c r="B31" s="84"/>
      <c r="C31" s="24" t="s">
        <v>177</v>
      </c>
      <c r="D31" s="19"/>
      <c r="E31" s="19"/>
      <c r="F31" s="19"/>
      <c r="G31" s="19"/>
    </row>
    <row r="32" spans="1:7" ht="21" x14ac:dyDescent="0.4">
      <c r="A32" s="19"/>
      <c r="B32" s="19"/>
      <c r="C32" s="19"/>
      <c r="D32" s="19"/>
      <c r="E32" s="19"/>
      <c r="F32" s="19"/>
      <c r="G32" s="19"/>
    </row>
    <row r="33" spans="1:7" ht="21" x14ac:dyDescent="0.4">
      <c r="A33" s="19" t="s">
        <v>178</v>
      </c>
      <c r="B33" s="19"/>
      <c r="C33" s="19"/>
      <c r="D33" s="19"/>
      <c r="E33" s="19"/>
      <c r="F33" s="19"/>
      <c r="G33" s="19"/>
    </row>
    <row r="34" spans="1:7" ht="21" x14ac:dyDescent="0.4">
      <c r="A34" s="20" t="s">
        <v>179</v>
      </c>
      <c r="B34" s="19"/>
      <c r="C34" s="19"/>
      <c r="D34" s="19"/>
      <c r="E34" s="19"/>
      <c r="F34" s="19"/>
      <c r="G34" s="19"/>
    </row>
    <row r="35" spans="1:7" ht="21" x14ac:dyDescent="0.4">
      <c r="A35" s="19"/>
      <c r="B35" s="19"/>
      <c r="C35" s="19"/>
      <c r="D35" s="19"/>
      <c r="E35" s="19"/>
      <c r="F35" s="19"/>
      <c r="G35" s="19"/>
    </row>
    <row r="36" spans="1:7" ht="21" x14ac:dyDescent="0.4">
      <c r="A36" s="19"/>
      <c r="B36" s="21" t="s">
        <v>180</v>
      </c>
      <c r="C36" s="21" t="s">
        <v>181</v>
      </c>
      <c r="D36" s="21" t="s">
        <v>182</v>
      </c>
      <c r="E36" s="19"/>
      <c r="F36" s="19"/>
      <c r="G36" s="19"/>
    </row>
    <row r="37" spans="1:7" ht="21" x14ac:dyDescent="0.4">
      <c r="A37" s="19"/>
      <c r="B37" s="25">
        <v>45590</v>
      </c>
      <c r="C37" s="25">
        <v>45592</v>
      </c>
      <c r="D37" s="80"/>
      <c r="E37" s="24" t="s">
        <v>183</v>
      </c>
      <c r="F37" s="19"/>
      <c r="G37" s="19"/>
    </row>
    <row r="38" spans="1:7" ht="21" x14ac:dyDescent="0.4">
      <c r="A38" s="19"/>
      <c r="B38" s="27"/>
      <c r="C38" s="27"/>
      <c r="D38" s="27"/>
      <c r="E38" s="19"/>
      <c r="F38" s="19"/>
      <c r="G38" s="19"/>
    </row>
    <row r="39" spans="1:7" ht="21" x14ac:dyDescent="0.4">
      <c r="A39" s="19" t="s">
        <v>184</v>
      </c>
      <c r="B39" s="19"/>
      <c r="C39" s="19"/>
      <c r="D39" s="19"/>
      <c r="E39" s="19"/>
      <c r="F39" s="19"/>
      <c r="G39" s="19"/>
    </row>
    <row r="40" spans="1:7" ht="21" x14ac:dyDescent="0.4">
      <c r="A40" s="20" t="s">
        <v>188</v>
      </c>
      <c r="B40" s="19"/>
      <c r="C40" s="19"/>
      <c r="D40" s="19"/>
      <c r="E40" s="19"/>
      <c r="F40" s="19"/>
      <c r="G40" s="19"/>
    </row>
    <row r="41" spans="1:7" ht="21" x14ac:dyDescent="0.4">
      <c r="A41" s="20" t="s">
        <v>185</v>
      </c>
      <c r="B41" s="19"/>
      <c r="C41" s="19"/>
      <c r="D41" s="19"/>
      <c r="E41" s="19"/>
      <c r="F41" s="19"/>
      <c r="G41" s="19"/>
    </row>
    <row r="42" spans="1:7" ht="21" x14ac:dyDescent="0.4">
      <c r="A42" s="20" t="s">
        <v>186</v>
      </c>
      <c r="B42" s="19"/>
      <c r="C42" s="19"/>
      <c r="D42" s="19"/>
      <c r="E42" s="19"/>
      <c r="F42" s="19"/>
      <c r="G42" s="19"/>
    </row>
    <row r="43" spans="1:7" ht="21" x14ac:dyDescent="0.4">
      <c r="A43" s="19" t="s">
        <v>187</v>
      </c>
      <c r="B43" s="19"/>
      <c r="C43" s="19"/>
      <c r="D43" s="19"/>
      <c r="E43" s="19"/>
      <c r="F43" s="19"/>
      <c r="G43" s="19"/>
    </row>
    <row r="44" spans="1:7" ht="21" x14ac:dyDescent="0.4">
      <c r="A44" s="19"/>
      <c r="B44" s="21" t="s">
        <v>150</v>
      </c>
      <c r="C44" s="19"/>
      <c r="D44" s="21" t="s">
        <v>154</v>
      </c>
      <c r="E44" s="19"/>
      <c r="F44" s="19"/>
      <c r="G44" s="19"/>
    </row>
    <row r="45" spans="1:7" ht="21" x14ac:dyDescent="0.4">
      <c r="A45" s="19"/>
      <c r="B45" s="25">
        <v>46045</v>
      </c>
      <c r="C45" s="19" t="s">
        <v>189</v>
      </c>
      <c r="D45" s="80"/>
      <c r="E45" s="24" t="s">
        <v>191</v>
      </c>
      <c r="F45" s="19"/>
      <c r="G45" s="19"/>
    </row>
    <row r="46" spans="1:7" ht="21" x14ac:dyDescent="0.4">
      <c r="A46" s="19"/>
      <c r="B46" s="23" t="s">
        <v>445</v>
      </c>
      <c r="C46" s="19" t="s">
        <v>190</v>
      </c>
      <c r="D46" s="80"/>
      <c r="E46" s="24" t="s">
        <v>192</v>
      </c>
      <c r="F46" s="19"/>
      <c r="G46" s="19"/>
    </row>
    <row r="47" spans="1:7" ht="21" x14ac:dyDescent="0.4">
      <c r="A47" s="19"/>
      <c r="B47" s="21" t="s">
        <v>154</v>
      </c>
      <c r="C47" s="19"/>
      <c r="D47" s="19"/>
      <c r="E47" s="19"/>
      <c r="F47" s="19"/>
      <c r="G47" s="19"/>
    </row>
    <row r="48" spans="1:7" ht="21" x14ac:dyDescent="0.4">
      <c r="A48" s="19"/>
      <c r="B48" s="80"/>
      <c r="C48" s="19"/>
      <c r="D48" s="19"/>
      <c r="E48" s="19"/>
      <c r="F48" s="19"/>
      <c r="G48" s="19"/>
    </row>
    <row r="49" spans="1:7" ht="21" x14ac:dyDescent="0.4">
      <c r="A49" s="19"/>
      <c r="B49" s="24" t="s">
        <v>193</v>
      </c>
      <c r="C49" s="19"/>
      <c r="D49" s="19"/>
      <c r="E49" s="19"/>
      <c r="F49" s="19"/>
      <c r="G49" s="19"/>
    </row>
    <row r="50" spans="1:7" ht="21" x14ac:dyDescent="0.4">
      <c r="A50" s="19"/>
      <c r="B50" s="19"/>
      <c r="C50" s="19"/>
      <c r="D50" s="19"/>
      <c r="E50" s="19"/>
      <c r="F50" s="19"/>
      <c r="G50" s="19"/>
    </row>
    <row r="51" spans="1:7" ht="21" x14ac:dyDescent="0.4">
      <c r="A51" s="19" t="s">
        <v>194</v>
      </c>
      <c r="B51" s="19"/>
      <c r="C51" s="19"/>
      <c r="D51" s="19"/>
      <c r="E51" s="19"/>
      <c r="F51" s="19"/>
      <c r="G51" s="19"/>
    </row>
    <row r="52" spans="1:7" ht="21" x14ac:dyDescent="0.4">
      <c r="A52" s="20" t="s">
        <v>195</v>
      </c>
      <c r="B52" s="19"/>
      <c r="C52" s="19"/>
      <c r="D52" s="19"/>
      <c r="E52" s="19"/>
      <c r="F52" s="19"/>
      <c r="G52" s="19"/>
    </row>
    <row r="53" spans="1:7" ht="21" x14ac:dyDescent="0.4">
      <c r="A53" s="19"/>
      <c r="B53" s="19"/>
      <c r="C53" s="19" t="s">
        <v>196</v>
      </c>
      <c r="D53" s="19"/>
      <c r="E53" s="19"/>
      <c r="F53" s="19"/>
      <c r="G53" s="19"/>
    </row>
    <row r="54" spans="1:7" ht="21" x14ac:dyDescent="0.4">
      <c r="A54" s="19"/>
      <c r="B54" s="21" t="s">
        <v>150</v>
      </c>
      <c r="C54" s="21" t="s">
        <v>154</v>
      </c>
      <c r="D54" s="19"/>
      <c r="E54" s="19"/>
      <c r="F54" s="19"/>
      <c r="G54" s="19"/>
    </row>
    <row r="55" spans="1:7" ht="21" x14ac:dyDescent="0.4">
      <c r="A55" s="19"/>
      <c r="B55" s="25">
        <v>46045</v>
      </c>
      <c r="C55" s="80"/>
      <c r="D55" s="24" t="s">
        <v>197</v>
      </c>
      <c r="E55" s="19"/>
      <c r="F55" s="19"/>
      <c r="G55" s="19"/>
    </row>
    <row r="56" spans="1:7" ht="21" x14ac:dyDescent="0.4">
      <c r="A56" s="19"/>
      <c r="B56" s="19"/>
      <c r="C56" s="19" t="s">
        <v>198</v>
      </c>
      <c r="D56" s="19"/>
      <c r="E56" s="19"/>
      <c r="F56" s="19"/>
      <c r="G56" s="19"/>
    </row>
    <row r="57" spans="1:7" ht="21" x14ac:dyDescent="0.4">
      <c r="A57" s="19"/>
      <c r="B57" s="19"/>
      <c r="C57" s="21" t="s">
        <v>154</v>
      </c>
      <c r="D57" s="19"/>
      <c r="E57" s="19"/>
      <c r="F57" s="19"/>
      <c r="G57" s="19"/>
    </row>
    <row r="58" spans="1:7" ht="21" x14ac:dyDescent="0.4">
      <c r="A58" s="19"/>
      <c r="B58" s="19"/>
      <c r="C58" s="86"/>
      <c r="D58" s="24" t="s">
        <v>197</v>
      </c>
      <c r="E58" s="19"/>
      <c r="F58" s="19"/>
      <c r="G58" s="87"/>
    </row>
    <row r="59" spans="1:7" ht="94.2" customHeight="1" x14ac:dyDescent="0.4">
      <c r="A59" s="19"/>
      <c r="B59" s="148" t="s">
        <v>446</v>
      </c>
      <c r="C59" s="148"/>
      <c r="E59" s="19"/>
      <c r="F59" s="19"/>
      <c r="G59" s="19"/>
    </row>
    <row r="60" spans="1:7" ht="21" x14ac:dyDescent="0.4">
      <c r="A60" s="19"/>
      <c r="B60" s="19"/>
      <c r="C60" s="88"/>
      <c r="D60" s="24" t="s">
        <v>407</v>
      </c>
      <c r="E60" s="19"/>
      <c r="F60" s="19"/>
      <c r="G60" s="19"/>
    </row>
    <row r="61" spans="1:7" ht="21" x14ac:dyDescent="0.4">
      <c r="A61" s="19" t="s">
        <v>199</v>
      </c>
      <c r="B61" s="19"/>
      <c r="C61" s="19"/>
      <c r="D61" s="19"/>
      <c r="E61" s="19"/>
      <c r="F61" s="19"/>
      <c r="G61" s="19"/>
    </row>
    <row r="62" spans="1:7" ht="21" x14ac:dyDescent="0.4">
      <c r="A62" s="20" t="s">
        <v>200</v>
      </c>
      <c r="B62" s="19"/>
      <c r="C62" s="19"/>
      <c r="D62" s="19"/>
      <c r="E62" s="19"/>
      <c r="F62" s="19"/>
      <c r="G62" s="19"/>
    </row>
    <row r="63" spans="1:7" ht="21" x14ac:dyDescent="0.4">
      <c r="A63" s="19"/>
      <c r="B63" s="19"/>
      <c r="C63" s="19"/>
      <c r="D63" s="19"/>
      <c r="E63" s="19"/>
      <c r="F63" s="19"/>
      <c r="G63" s="19"/>
    </row>
    <row r="64" spans="1:7" ht="21" x14ac:dyDescent="0.4">
      <c r="A64" s="19"/>
      <c r="B64" s="21" t="s">
        <v>150</v>
      </c>
      <c r="C64" s="21" t="s">
        <v>154</v>
      </c>
      <c r="D64" s="19"/>
      <c r="E64" s="19"/>
      <c r="F64" s="19"/>
      <c r="G64" s="19"/>
    </row>
    <row r="65" spans="1:7" ht="21" x14ac:dyDescent="0.4">
      <c r="A65" s="19"/>
      <c r="B65" s="25">
        <v>46045</v>
      </c>
      <c r="C65" s="80"/>
      <c r="D65" s="24" t="s">
        <v>201</v>
      </c>
      <c r="E65" s="19"/>
      <c r="F65" s="19"/>
      <c r="G65" s="19"/>
    </row>
    <row r="66" spans="1:7" ht="21" x14ac:dyDescent="0.4">
      <c r="A66" s="19"/>
      <c r="B66" s="19"/>
      <c r="C66" s="19"/>
      <c r="D66" s="19"/>
      <c r="E66" s="19"/>
      <c r="F66" s="19"/>
      <c r="G66" s="19"/>
    </row>
    <row r="67" spans="1:7" ht="21" x14ac:dyDescent="0.4">
      <c r="A67" s="19"/>
      <c r="B67" s="19"/>
      <c r="C67" s="19" t="s">
        <v>198</v>
      </c>
      <c r="D67" s="19"/>
      <c r="E67" s="19"/>
      <c r="F67" s="19"/>
      <c r="G67" s="19"/>
    </row>
    <row r="68" spans="1:7" ht="21" x14ac:dyDescent="0.4">
      <c r="A68" s="19"/>
      <c r="B68" s="19"/>
      <c r="C68" s="21" t="s">
        <v>154</v>
      </c>
      <c r="D68" s="19"/>
      <c r="E68" s="19"/>
      <c r="F68" s="19"/>
      <c r="G68" s="19"/>
    </row>
    <row r="69" spans="1:7" ht="21" x14ac:dyDescent="0.4">
      <c r="A69" s="19"/>
      <c r="B69" s="19"/>
      <c r="C69" s="82"/>
      <c r="D69" s="24" t="s">
        <v>201</v>
      </c>
      <c r="E69" s="19"/>
      <c r="F69" s="19"/>
      <c r="G69" s="19"/>
    </row>
    <row r="70" spans="1:7" ht="21" x14ac:dyDescent="0.4">
      <c r="A70" s="19"/>
      <c r="B70" s="19"/>
      <c r="C70" s="19"/>
      <c r="D70" s="19"/>
      <c r="E70" s="19"/>
      <c r="F70" s="19"/>
      <c r="G70" s="19"/>
    </row>
    <row r="71" spans="1:7" ht="21" x14ac:dyDescent="0.4">
      <c r="A71" s="19"/>
      <c r="B71" s="19"/>
      <c r="C71" s="19"/>
      <c r="D71" s="19"/>
      <c r="E71" s="19"/>
      <c r="F71" s="19"/>
      <c r="G71" s="19"/>
    </row>
    <row r="72" spans="1:7" ht="21" x14ac:dyDescent="0.4">
      <c r="A72" s="19" t="s">
        <v>202</v>
      </c>
      <c r="B72" s="19"/>
      <c r="C72" s="19"/>
      <c r="D72" s="19"/>
      <c r="E72" s="19"/>
      <c r="F72" s="19"/>
      <c r="G72" s="19"/>
    </row>
    <row r="73" spans="1:7" ht="21" x14ac:dyDescent="0.4">
      <c r="A73" s="20" t="s">
        <v>203</v>
      </c>
      <c r="B73" s="19"/>
      <c r="C73" s="19"/>
      <c r="D73" s="19"/>
      <c r="E73" s="19"/>
      <c r="F73" s="19"/>
      <c r="G73" s="19"/>
    </row>
    <row r="74" spans="1:7" ht="21" x14ac:dyDescent="0.4">
      <c r="A74" s="19"/>
      <c r="B74" s="19"/>
      <c r="C74" s="19"/>
      <c r="D74" s="19"/>
      <c r="E74" s="19"/>
      <c r="F74" s="19"/>
      <c r="G74" s="19"/>
    </row>
    <row r="75" spans="1:7" ht="21" x14ac:dyDescent="0.4">
      <c r="A75" s="19"/>
      <c r="B75" s="21" t="s">
        <v>150</v>
      </c>
      <c r="C75" s="19" t="s">
        <v>204</v>
      </c>
      <c r="D75" s="19"/>
      <c r="E75" s="19"/>
      <c r="F75" s="19"/>
      <c r="G75" s="19"/>
    </row>
    <row r="76" spans="1:7" ht="21" x14ac:dyDescent="0.4">
      <c r="A76" s="19"/>
      <c r="B76" s="25">
        <v>45995</v>
      </c>
      <c r="C76" s="21" t="s">
        <v>154</v>
      </c>
      <c r="D76" s="19"/>
      <c r="E76" s="19"/>
      <c r="F76" s="19"/>
      <c r="G76" s="19"/>
    </row>
    <row r="77" spans="1:7" ht="21" x14ac:dyDescent="0.4">
      <c r="A77" s="19"/>
      <c r="B77" s="27" t="s">
        <v>443</v>
      </c>
      <c r="C77" s="80"/>
      <c r="D77" s="24" t="s">
        <v>408</v>
      </c>
      <c r="E77" s="19"/>
      <c r="F77" s="19"/>
      <c r="G77" s="19"/>
    </row>
    <row r="78" spans="1:7" ht="21" x14ac:dyDescent="0.4">
      <c r="A78" s="19"/>
      <c r="B78" s="22"/>
      <c r="C78" s="19" t="s">
        <v>198</v>
      </c>
      <c r="D78" s="19"/>
      <c r="E78" s="19"/>
      <c r="F78" s="19"/>
      <c r="G78" s="19"/>
    </row>
    <row r="79" spans="1:7" ht="21" x14ac:dyDescent="0.4">
      <c r="A79" s="19"/>
      <c r="B79" s="19"/>
      <c r="C79" s="21" t="s">
        <v>154</v>
      </c>
      <c r="D79" s="19"/>
      <c r="E79" s="19"/>
      <c r="F79" s="19"/>
      <c r="G79" s="19"/>
    </row>
    <row r="80" spans="1:7" ht="21" x14ac:dyDescent="0.4">
      <c r="A80" s="19"/>
      <c r="B80" s="19"/>
      <c r="C80" s="82"/>
      <c r="D80" s="24" t="s">
        <v>408</v>
      </c>
      <c r="E80" s="19"/>
      <c r="F80" s="19"/>
      <c r="G80" s="19"/>
    </row>
  </sheetData>
  <mergeCells count="1">
    <mergeCell ref="B59:C59"/>
  </mergeCells>
  <phoneticPr fontId="1" type="noConversion"/>
  <printOptions headings="1"/>
  <pageMargins left="0.31496062992125984" right="0.31496062992125984" top="0.74803149606299213" bottom="0.74803149606299213" header="0.31496062992125984" footer="0.31496062992125984"/>
  <pageSetup paperSize="9" scale="80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3BB8-49CB-41F6-A784-61C0F26E9ED6}">
  <dimension ref="A1:F88"/>
  <sheetViews>
    <sheetView topLeftCell="A70" zoomScale="130" zoomScaleNormal="130" workbookViewId="0">
      <selection activeCell="A69" sqref="A69"/>
    </sheetView>
  </sheetViews>
  <sheetFormatPr defaultRowHeight="17.399999999999999" x14ac:dyDescent="0.4"/>
  <cols>
    <col min="2" max="2" width="12.69921875" customWidth="1"/>
    <col min="3" max="3" width="10.8984375" customWidth="1"/>
    <col min="4" max="4" width="26.09765625" customWidth="1"/>
    <col min="5" max="5" width="39.3984375" customWidth="1"/>
    <col min="6" max="6" width="17.3984375" customWidth="1"/>
  </cols>
  <sheetData>
    <row r="1" spans="1:6" ht="36" x14ac:dyDescent="0.4">
      <c r="A1" s="35" t="s">
        <v>324</v>
      </c>
    </row>
    <row r="2" spans="1:6" ht="21" x14ac:dyDescent="0.4">
      <c r="A2" s="19"/>
      <c r="B2" s="63" t="s">
        <v>325</v>
      </c>
      <c r="C2" s="27"/>
      <c r="D2" s="21" t="s">
        <v>326</v>
      </c>
      <c r="E2" s="21" t="s">
        <v>154</v>
      </c>
      <c r="F2" s="19"/>
    </row>
    <row r="3" spans="1:6" ht="21" x14ac:dyDescent="0.4">
      <c r="A3" s="19"/>
      <c r="B3" s="28">
        <v>456.654</v>
      </c>
      <c r="C3" s="22"/>
      <c r="D3" s="65" t="s">
        <v>327</v>
      </c>
      <c r="E3" s="80"/>
      <c r="F3" s="19"/>
    </row>
    <row r="4" spans="1:6" ht="21" x14ac:dyDescent="0.4">
      <c r="A4" s="19"/>
      <c r="B4" s="28">
        <v>123.321</v>
      </c>
      <c r="C4" s="22"/>
      <c r="D4" s="65" t="s">
        <v>328</v>
      </c>
      <c r="E4" s="80"/>
      <c r="F4" s="19"/>
    </row>
    <row r="5" spans="1:6" ht="21" x14ac:dyDescent="0.4">
      <c r="A5" s="19"/>
      <c r="B5" s="28">
        <v>789.98699999999997</v>
      </c>
      <c r="C5" s="22"/>
      <c r="D5" s="65" t="s">
        <v>329</v>
      </c>
      <c r="E5" s="80"/>
      <c r="F5" s="19"/>
    </row>
    <row r="6" spans="1:6" ht="21" x14ac:dyDescent="0.4">
      <c r="A6" s="19"/>
      <c r="B6" s="19"/>
      <c r="C6" s="19"/>
      <c r="D6" s="65" t="s">
        <v>330</v>
      </c>
      <c r="E6" s="80"/>
      <c r="F6" s="19"/>
    </row>
    <row r="7" spans="1:6" ht="21" x14ac:dyDescent="0.4">
      <c r="A7" s="19"/>
      <c r="B7" s="19"/>
      <c r="C7" s="19"/>
      <c r="D7" s="65" t="s">
        <v>331</v>
      </c>
      <c r="E7" s="80"/>
      <c r="F7" s="19"/>
    </row>
    <row r="8" spans="1:6" ht="21" x14ac:dyDescent="0.4">
      <c r="A8" s="19"/>
      <c r="B8" s="19"/>
      <c r="C8" s="19"/>
      <c r="D8" s="65" t="s">
        <v>332</v>
      </c>
      <c r="E8" s="80"/>
      <c r="F8" s="19"/>
    </row>
    <row r="9" spans="1:6" ht="21" x14ac:dyDescent="0.4">
      <c r="A9" s="19"/>
      <c r="B9" s="19"/>
      <c r="C9" s="19"/>
      <c r="D9" s="65" t="s">
        <v>333</v>
      </c>
      <c r="E9" s="80"/>
      <c r="F9" s="19"/>
    </row>
    <row r="10" spans="1:6" ht="21" x14ac:dyDescent="0.4">
      <c r="A10" s="19"/>
      <c r="B10" s="19"/>
      <c r="C10" s="19"/>
      <c r="D10" s="65" t="s">
        <v>334</v>
      </c>
      <c r="E10" s="80"/>
      <c r="F10" s="19"/>
    </row>
    <row r="11" spans="1:6" ht="21" x14ac:dyDescent="0.4">
      <c r="A11" s="19"/>
      <c r="B11" s="19"/>
      <c r="C11" s="19"/>
      <c r="D11" s="65" t="s">
        <v>335</v>
      </c>
      <c r="E11" s="80"/>
      <c r="F11" s="19"/>
    </row>
    <row r="12" spans="1:6" ht="21" x14ac:dyDescent="0.4">
      <c r="A12" s="19"/>
      <c r="B12" s="19"/>
      <c r="C12" s="19"/>
      <c r="D12" s="22"/>
      <c r="E12" s="22"/>
      <c r="F12" s="19"/>
    </row>
    <row r="13" spans="1:6" ht="51.75" customHeight="1" x14ac:dyDescent="0.4">
      <c r="A13" s="149" t="s">
        <v>336</v>
      </c>
      <c r="B13" s="150"/>
      <c r="C13" s="150"/>
      <c r="D13" s="150"/>
      <c r="E13" s="150"/>
      <c r="F13" s="19"/>
    </row>
    <row r="14" spans="1:6" ht="33" customHeight="1" x14ac:dyDescent="0.4">
      <c r="A14" s="60"/>
      <c r="B14" s="66" t="s">
        <v>337</v>
      </c>
      <c r="C14" s="27"/>
      <c r="D14" s="27"/>
      <c r="E14" s="27"/>
      <c r="F14" s="19"/>
    </row>
    <row r="15" spans="1:6" ht="21" x14ac:dyDescent="0.4">
      <c r="A15" s="22" t="s">
        <v>338</v>
      </c>
      <c r="B15" s="19"/>
      <c r="C15" s="19"/>
      <c r="D15" s="19"/>
      <c r="E15" s="19"/>
      <c r="F15" s="19"/>
    </row>
    <row r="16" spans="1:6" ht="21" x14ac:dyDescent="0.4">
      <c r="A16" s="20" t="s">
        <v>339</v>
      </c>
      <c r="B16" s="19"/>
      <c r="C16" s="19"/>
      <c r="D16" s="19"/>
      <c r="E16" s="19"/>
      <c r="F16" s="19"/>
    </row>
    <row r="17" spans="1:6" ht="21" x14ac:dyDescent="0.4">
      <c r="A17" s="22" t="s">
        <v>340</v>
      </c>
      <c r="B17" s="19"/>
      <c r="C17" s="19"/>
      <c r="D17" s="19"/>
      <c r="E17" s="19"/>
      <c r="F17" s="19"/>
    </row>
    <row r="18" spans="1:6" ht="21" x14ac:dyDescent="0.4">
      <c r="A18" s="20" t="s">
        <v>341</v>
      </c>
      <c r="B18" s="19"/>
      <c r="C18" s="19"/>
      <c r="D18" s="19"/>
      <c r="E18" s="19"/>
      <c r="F18" s="19"/>
    </row>
    <row r="19" spans="1:6" ht="21" x14ac:dyDescent="0.4">
      <c r="A19" s="22" t="s">
        <v>342</v>
      </c>
      <c r="B19" s="19"/>
      <c r="C19" s="19"/>
      <c r="D19" s="19"/>
      <c r="E19" s="19"/>
      <c r="F19" s="19"/>
    </row>
    <row r="20" spans="1:6" ht="21" x14ac:dyDescent="0.4">
      <c r="A20" s="20" t="s">
        <v>343</v>
      </c>
      <c r="B20" s="19"/>
      <c r="C20" s="19"/>
      <c r="D20" s="19"/>
      <c r="E20" s="19"/>
      <c r="F20" s="19"/>
    </row>
    <row r="21" spans="1:6" ht="21" x14ac:dyDescent="0.4">
      <c r="A21" s="19"/>
      <c r="B21" s="19"/>
      <c r="C21" s="19"/>
      <c r="D21" s="19"/>
      <c r="E21" s="19"/>
      <c r="F21" s="19"/>
    </row>
    <row r="22" spans="1:6" ht="21" x14ac:dyDescent="0.4">
      <c r="A22" s="19" t="s">
        <v>344</v>
      </c>
      <c r="B22" s="19"/>
      <c r="C22" s="19"/>
      <c r="D22" s="19"/>
      <c r="E22" s="19"/>
      <c r="F22" s="19"/>
    </row>
    <row r="23" spans="1:6" ht="21" x14ac:dyDescent="0.4">
      <c r="A23" s="20" t="s">
        <v>345</v>
      </c>
      <c r="B23" s="19"/>
      <c r="C23" s="19"/>
      <c r="D23" s="19"/>
      <c r="E23" s="19"/>
      <c r="F23" s="19"/>
    </row>
    <row r="24" spans="1:6" ht="21" x14ac:dyDescent="0.4">
      <c r="A24" s="19" t="s">
        <v>346</v>
      </c>
      <c r="B24" s="19"/>
      <c r="C24" s="19"/>
      <c r="D24" s="19"/>
      <c r="E24" s="19"/>
      <c r="F24" s="19"/>
    </row>
    <row r="25" spans="1:6" ht="21" x14ac:dyDescent="0.4">
      <c r="A25" s="20" t="s">
        <v>347</v>
      </c>
      <c r="B25" s="19"/>
      <c r="C25" s="19"/>
      <c r="D25" s="19"/>
      <c r="E25" s="19"/>
      <c r="F25" s="19"/>
    </row>
    <row r="26" spans="1:6" ht="21" x14ac:dyDescent="0.4">
      <c r="A26" s="19" t="s">
        <v>348</v>
      </c>
      <c r="B26" s="19"/>
      <c r="C26" s="19"/>
      <c r="D26" s="19"/>
      <c r="E26" s="19"/>
      <c r="F26" s="19"/>
    </row>
    <row r="27" spans="1:6" ht="21" x14ac:dyDescent="0.4">
      <c r="A27" s="20" t="s">
        <v>349</v>
      </c>
      <c r="B27" s="19"/>
      <c r="C27" s="19"/>
      <c r="D27" s="19"/>
      <c r="E27" s="19"/>
      <c r="F27" s="19"/>
    </row>
    <row r="28" spans="1:6" ht="21" x14ac:dyDescent="0.4">
      <c r="A28" s="19"/>
      <c r="B28" s="19"/>
      <c r="C28" s="19"/>
      <c r="D28" s="19"/>
      <c r="E28" s="19"/>
      <c r="F28" s="19"/>
    </row>
    <row r="29" spans="1:6" ht="21.6" thickBot="1" x14ac:dyDescent="0.45">
      <c r="A29" s="64" t="s">
        <v>350</v>
      </c>
      <c r="B29" s="64" t="s">
        <v>351</v>
      </c>
      <c r="C29" s="64" t="s">
        <v>352</v>
      </c>
      <c r="D29" s="19"/>
      <c r="E29" s="21" t="s">
        <v>154</v>
      </c>
    </row>
    <row r="30" spans="1:6" ht="21" x14ac:dyDescent="0.4">
      <c r="A30" s="23" t="s">
        <v>353</v>
      </c>
      <c r="B30" s="67">
        <v>4000</v>
      </c>
      <c r="C30" s="89">
        <v>15</v>
      </c>
      <c r="D30" s="91" t="s">
        <v>354</v>
      </c>
      <c r="E30" s="80"/>
      <c r="F30" s="90" t="s">
        <v>355</v>
      </c>
    </row>
    <row r="31" spans="1:6" ht="21.6" thickBot="1" x14ac:dyDescent="0.45">
      <c r="A31" s="23" t="s">
        <v>356</v>
      </c>
      <c r="B31" s="67">
        <v>2500</v>
      </c>
      <c r="C31" s="89">
        <v>30</v>
      </c>
      <c r="D31" s="92" t="s">
        <v>357</v>
      </c>
      <c r="E31" s="93"/>
      <c r="F31" s="90" t="s">
        <v>358</v>
      </c>
    </row>
    <row r="32" spans="1:6" ht="21" x14ac:dyDescent="0.4">
      <c r="A32" s="23" t="s">
        <v>359</v>
      </c>
      <c r="B32" s="67">
        <v>3000</v>
      </c>
      <c r="C32" s="23">
        <v>20</v>
      </c>
      <c r="D32" s="19"/>
      <c r="E32" s="80"/>
    </row>
    <row r="33" spans="1:6" ht="21" x14ac:dyDescent="0.4">
      <c r="A33" s="23" t="s">
        <v>361</v>
      </c>
      <c r="B33" s="67">
        <v>1000</v>
      </c>
      <c r="C33" s="23">
        <v>10</v>
      </c>
      <c r="D33" s="19"/>
      <c r="E33" s="19"/>
      <c r="F33" s="65" t="s">
        <v>360</v>
      </c>
    </row>
    <row r="34" spans="1:6" ht="21" x14ac:dyDescent="0.4">
      <c r="A34" s="19"/>
      <c r="B34" s="19"/>
      <c r="C34" s="19"/>
      <c r="D34" s="19"/>
      <c r="E34" s="19"/>
      <c r="F34" s="19"/>
    </row>
    <row r="35" spans="1:6" ht="21" x14ac:dyDescent="0.4">
      <c r="A35" s="68" t="s">
        <v>362</v>
      </c>
      <c r="B35" s="19"/>
      <c r="C35" s="19"/>
      <c r="D35" s="19"/>
      <c r="E35" s="19"/>
      <c r="F35" s="19"/>
    </row>
    <row r="36" spans="1:6" ht="21" x14ac:dyDescent="0.4">
      <c r="A36" s="66" t="s">
        <v>363</v>
      </c>
      <c r="B36" s="19"/>
      <c r="C36" s="19"/>
      <c r="D36" s="19"/>
      <c r="E36" s="19"/>
      <c r="F36" s="19"/>
    </row>
    <row r="37" spans="1:6" ht="21" x14ac:dyDescent="0.4">
      <c r="A37" s="19"/>
      <c r="B37" s="19"/>
      <c r="C37" s="19"/>
      <c r="D37" s="19"/>
      <c r="E37" s="19"/>
      <c r="F37" s="19"/>
    </row>
    <row r="38" spans="1:6" ht="21" x14ac:dyDescent="0.4">
      <c r="A38" s="19"/>
      <c r="B38" s="64" t="s">
        <v>13</v>
      </c>
      <c r="C38" s="19"/>
      <c r="D38" s="21" t="s">
        <v>154</v>
      </c>
      <c r="E38" s="19"/>
      <c r="F38" s="19"/>
    </row>
    <row r="39" spans="1:6" ht="21" x14ac:dyDescent="0.4">
      <c r="A39" s="19"/>
      <c r="B39" s="23">
        <v>12.5</v>
      </c>
      <c r="C39" s="19"/>
      <c r="D39" s="64"/>
      <c r="E39" s="24" t="s">
        <v>364</v>
      </c>
      <c r="F39" s="19"/>
    </row>
    <row r="40" spans="1:6" ht="21" x14ac:dyDescent="0.4">
      <c r="A40" s="19"/>
      <c r="B40" s="19"/>
      <c r="C40" s="19"/>
      <c r="D40" s="19"/>
      <c r="E40" s="19"/>
      <c r="F40" s="19"/>
    </row>
    <row r="41" spans="1:6" ht="21" x14ac:dyDescent="0.4">
      <c r="A41" s="19"/>
      <c r="B41" s="64" t="s">
        <v>13</v>
      </c>
      <c r="C41" s="19"/>
      <c r="D41" s="21" t="s">
        <v>154</v>
      </c>
      <c r="E41" s="19"/>
      <c r="F41" s="19"/>
    </row>
    <row r="42" spans="1:6" ht="21" x14ac:dyDescent="0.4">
      <c r="A42" s="19"/>
      <c r="B42" s="23">
        <v>-12.5</v>
      </c>
      <c r="C42" s="19"/>
      <c r="D42" s="64"/>
      <c r="E42" s="24" t="s">
        <v>365</v>
      </c>
      <c r="F42" s="19"/>
    </row>
    <row r="43" spans="1:6" ht="21" x14ac:dyDescent="0.4">
      <c r="A43" s="19"/>
      <c r="B43" s="19"/>
      <c r="C43" s="19"/>
      <c r="D43" s="19"/>
      <c r="E43" s="19"/>
      <c r="F43" s="19"/>
    </row>
    <row r="44" spans="1:6" ht="21" x14ac:dyDescent="0.4">
      <c r="A44" s="19" t="s">
        <v>366</v>
      </c>
      <c r="B44" s="19"/>
      <c r="C44" s="19"/>
      <c r="D44" s="19"/>
      <c r="E44" s="19"/>
      <c r="F44" s="19"/>
    </row>
    <row r="45" spans="1:6" ht="21" x14ac:dyDescent="0.4">
      <c r="A45" s="20" t="s">
        <v>367</v>
      </c>
      <c r="B45" s="19"/>
      <c r="C45" s="19"/>
      <c r="D45" s="19"/>
      <c r="E45" s="19"/>
      <c r="F45" s="19"/>
    </row>
    <row r="46" spans="1:6" ht="21" x14ac:dyDescent="0.4">
      <c r="A46" s="19"/>
      <c r="B46" s="19"/>
      <c r="C46" s="19"/>
      <c r="D46" s="19" t="s">
        <v>368</v>
      </c>
      <c r="E46" s="19"/>
      <c r="F46" s="19"/>
    </row>
    <row r="47" spans="1:6" ht="21" x14ac:dyDescent="0.4">
      <c r="A47" s="19"/>
      <c r="B47" s="64" t="s">
        <v>13</v>
      </c>
      <c r="C47" s="19"/>
      <c r="D47" s="21" t="s">
        <v>154</v>
      </c>
      <c r="E47" s="19"/>
      <c r="F47" s="19"/>
    </row>
    <row r="48" spans="1:6" ht="21" x14ac:dyDescent="0.4">
      <c r="A48" s="19"/>
      <c r="B48" s="23">
        <v>1234.4559999999999</v>
      </c>
      <c r="C48" s="19"/>
      <c r="D48" s="85"/>
      <c r="E48" s="24" t="s">
        <v>369</v>
      </c>
      <c r="F48" s="19"/>
    </row>
    <row r="49" spans="1:6" ht="21" x14ac:dyDescent="0.4">
      <c r="A49" s="19"/>
      <c r="B49" s="19"/>
      <c r="C49" s="19"/>
      <c r="D49" s="19"/>
      <c r="E49" s="19"/>
      <c r="F49" s="19"/>
    </row>
    <row r="50" spans="1:6" ht="21" x14ac:dyDescent="0.4">
      <c r="A50" s="19" t="s">
        <v>370</v>
      </c>
      <c r="B50" s="19"/>
      <c r="C50" s="19"/>
      <c r="D50" s="19"/>
      <c r="E50" s="19"/>
      <c r="F50" s="19"/>
    </row>
    <row r="51" spans="1:6" ht="21" x14ac:dyDescent="0.4">
      <c r="A51" s="20" t="s">
        <v>371</v>
      </c>
      <c r="B51" s="19"/>
      <c r="C51" s="19"/>
      <c r="D51" s="19"/>
      <c r="E51" s="19"/>
      <c r="F51" s="19"/>
    </row>
    <row r="52" spans="1:6" ht="21" x14ac:dyDescent="0.4">
      <c r="A52" s="19"/>
      <c r="B52" s="64" t="s">
        <v>13</v>
      </c>
      <c r="C52" s="19"/>
      <c r="D52" s="19" t="s">
        <v>372</v>
      </c>
      <c r="E52" s="19"/>
      <c r="F52" s="19"/>
    </row>
    <row r="53" spans="1:6" ht="21" x14ac:dyDescent="0.4">
      <c r="A53" s="19"/>
      <c r="B53" s="23">
        <v>13</v>
      </c>
      <c r="C53" s="19"/>
      <c r="D53" s="21" t="s">
        <v>154</v>
      </c>
      <c r="E53" s="19"/>
      <c r="F53" s="19"/>
    </row>
    <row r="54" spans="1:6" ht="21" x14ac:dyDescent="0.4">
      <c r="A54" s="19"/>
      <c r="B54" s="19"/>
      <c r="C54" s="19"/>
      <c r="D54" s="64"/>
      <c r="E54" s="24" t="s">
        <v>373</v>
      </c>
      <c r="F54" s="19"/>
    </row>
    <row r="55" spans="1:6" ht="21" x14ac:dyDescent="0.4">
      <c r="A55" s="19"/>
      <c r="B55" s="19"/>
      <c r="C55" s="19"/>
      <c r="D55" s="19"/>
      <c r="E55" s="19"/>
      <c r="F55" s="19"/>
    </row>
    <row r="56" spans="1:6" ht="21" x14ac:dyDescent="0.4">
      <c r="A56" s="19" t="s">
        <v>459</v>
      </c>
      <c r="B56" s="19"/>
      <c r="C56" s="19"/>
      <c r="D56" s="19"/>
      <c r="E56" s="19"/>
      <c r="F56" s="19"/>
    </row>
    <row r="57" spans="1:6" ht="21" x14ac:dyDescent="0.4">
      <c r="A57" s="20" t="s">
        <v>374</v>
      </c>
      <c r="B57" s="19"/>
      <c r="C57" s="19"/>
      <c r="D57" s="19"/>
      <c r="E57" s="19"/>
      <c r="F57" s="19"/>
    </row>
    <row r="58" spans="1:6" ht="21" x14ac:dyDescent="0.4">
      <c r="A58" s="19"/>
      <c r="B58" s="19"/>
      <c r="C58" s="19"/>
      <c r="D58" s="19"/>
      <c r="E58" s="19"/>
      <c r="F58" s="19"/>
    </row>
    <row r="59" spans="1:6" ht="21" x14ac:dyDescent="0.4">
      <c r="A59" s="19"/>
      <c r="B59" s="21" t="s">
        <v>9</v>
      </c>
      <c r="C59" s="21" t="s">
        <v>5</v>
      </c>
      <c r="D59" s="19"/>
      <c r="E59" s="19"/>
      <c r="F59" s="19"/>
    </row>
    <row r="60" spans="1:6" ht="21" x14ac:dyDescent="0.4">
      <c r="A60" s="19"/>
      <c r="B60" s="64" t="s">
        <v>11</v>
      </c>
      <c r="C60" s="23">
        <v>100</v>
      </c>
      <c r="D60" s="19" t="s">
        <v>375</v>
      </c>
      <c r="E60" s="19"/>
      <c r="F60" s="19"/>
    </row>
    <row r="61" spans="1:6" ht="21.6" thickBot="1" x14ac:dyDescent="0.45">
      <c r="A61" s="19"/>
      <c r="B61" s="23" t="s">
        <v>10</v>
      </c>
      <c r="C61" s="23">
        <v>200</v>
      </c>
      <c r="D61" s="19"/>
      <c r="E61" s="21" t="s">
        <v>154</v>
      </c>
      <c r="F61" s="19"/>
    </row>
    <row r="62" spans="1:6" ht="21.6" thickBot="1" x14ac:dyDescent="0.45">
      <c r="A62" s="19"/>
      <c r="B62" s="64" t="s">
        <v>11</v>
      </c>
      <c r="C62" s="23">
        <v>30</v>
      </c>
      <c r="D62" s="19"/>
      <c r="E62" s="94"/>
      <c r="F62" s="19"/>
    </row>
    <row r="63" spans="1:6" ht="21" x14ac:dyDescent="0.4">
      <c r="A63" s="19"/>
      <c r="B63" s="23" t="s">
        <v>12</v>
      </c>
      <c r="C63" s="23">
        <v>50</v>
      </c>
      <c r="D63" s="19"/>
      <c r="E63" s="24" t="s">
        <v>409</v>
      </c>
      <c r="F63" s="19"/>
    </row>
    <row r="64" spans="1:6" ht="21" x14ac:dyDescent="0.4">
      <c r="A64" s="19"/>
      <c r="B64" s="23" t="s">
        <v>10</v>
      </c>
      <c r="C64" s="23">
        <v>200</v>
      </c>
      <c r="D64" s="19"/>
      <c r="E64" s="19"/>
      <c r="F64" s="19"/>
    </row>
    <row r="65" spans="1:6" ht="21" x14ac:dyDescent="0.4">
      <c r="A65" s="19"/>
      <c r="B65" s="64" t="s">
        <v>11</v>
      </c>
      <c r="C65" s="23">
        <v>250</v>
      </c>
      <c r="D65" s="19"/>
      <c r="E65" s="19"/>
      <c r="F65" s="19"/>
    </row>
    <row r="68" spans="1:6" ht="21" x14ac:dyDescent="0.4">
      <c r="A68" s="19" t="s">
        <v>460</v>
      </c>
      <c r="B68" s="19"/>
      <c r="C68" s="19"/>
      <c r="D68" s="19"/>
      <c r="E68" s="19"/>
    </row>
    <row r="69" spans="1:6" ht="21" x14ac:dyDescent="0.4">
      <c r="A69" s="20" t="s">
        <v>410</v>
      </c>
      <c r="B69" s="19"/>
      <c r="C69" s="19"/>
      <c r="D69" s="19"/>
      <c r="E69" s="19"/>
    </row>
    <row r="70" spans="1:6" ht="21" x14ac:dyDescent="0.4">
      <c r="A70" s="19"/>
      <c r="B70" s="19"/>
      <c r="C70" s="19"/>
      <c r="D70" s="19"/>
      <c r="E70" s="19"/>
    </row>
    <row r="71" spans="1:6" ht="21" x14ac:dyDescent="0.4">
      <c r="A71" s="19"/>
      <c r="B71" s="21" t="s">
        <v>9</v>
      </c>
      <c r="C71" s="21" t="s">
        <v>5</v>
      </c>
      <c r="D71" s="97" t="s">
        <v>4</v>
      </c>
      <c r="E71" s="19"/>
    </row>
    <row r="72" spans="1:6" ht="21" x14ac:dyDescent="0.4">
      <c r="A72" s="19"/>
      <c r="B72" s="64" t="s">
        <v>11</v>
      </c>
      <c r="C72" s="23">
        <v>100</v>
      </c>
      <c r="D72" s="99" t="s">
        <v>6</v>
      </c>
      <c r="E72" s="19" t="s">
        <v>442</v>
      </c>
    </row>
    <row r="73" spans="1:6" ht="21.6" thickBot="1" x14ac:dyDescent="0.45">
      <c r="A73" s="19"/>
      <c r="B73" s="23" t="s">
        <v>10</v>
      </c>
      <c r="C73" s="23">
        <v>200</v>
      </c>
      <c r="D73" s="98" t="s">
        <v>7</v>
      </c>
      <c r="E73" s="95" t="s">
        <v>154</v>
      </c>
    </row>
    <row r="74" spans="1:6" ht="21.6" thickBot="1" x14ac:dyDescent="0.45">
      <c r="A74" s="19"/>
      <c r="B74" s="64" t="s">
        <v>11</v>
      </c>
      <c r="C74" s="23">
        <v>30</v>
      </c>
      <c r="D74" s="99" t="s">
        <v>6</v>
      </c>
      <c r="E74" s="96"/>
    </row>
    <row r="75" spans="1:6" ht="21" x14ac:dyDescent="0.4">
      <c r="A75" s="19"/>
      <c r="B75" s="23" t="s">
        <v>12</v>
      </c>
      <c r="C75" s="23">
        <v>50</v>
      </c>
      <c r="D75" s="98" t="s">
        <v>411</v>
      </c>
      <c r="E75" s="24" t="s">
        <v>412</v>
      </c>
    </row>
    <row r="76" spans="1:6" ht="21" x14ac:dyDescent="0.4">
      <c r="A76" s="19"/>
      <c r="B76" s="23" t="s">
        <v>10</v>
      </c>
      <c r="C76" s="23">
        <v>200</v>
      </c>
      <c r="D76" s="98" t="s">
        <v>411</v>
      </c>
      <c r="E76" s="19"/>
    </row>
    <row r="77" spans="1:6" ht="21" x14ac:dyDescent="0.4">
      <c r="A77" s="19"/>
      <c r="B77" s="23" t="s">
        <v>11</v>
      </c>
      <c r="C77" s="23">
        <v>250</v>
      </c>
      <c r="D77" s="98" t="s">
        <v>411</v>
      </c>
      <c r="E77" s="19"/>
    </row>
    <row r="79" spans="1:6" ht="21" x14ac:dyDescent="0.4">
      <c r="A79" s="19" t="s">
        <v>439</v>
      </c>
    </row>
    <row r="80" spans="1:6" ht="30" x14ac:dyDescent="0.4">
      <c r="A80" s="19"/>
      <c r="B80" s="135" t="s">
        <v>437</v>
      </c>
    </row>
    <row r="81" spans="1:3" ht="21" x14ac:dyDescent="0.4">
      <c r="B81" s="21" t="s">
        <v>436</v>
      </c>
    </row>
    <row r="82" spans="1:3" ht="27.6" x14ac:dyDescent="0.4">
      <c r="B82" s="64"/>
      <c r="C82" s="46" t="s">
        <v>437</v>
      </c>
    </row>
    <row r="83" spans="1:3" ht="21" x14ac:dyDescent="0.4">
      <c r="B83" s="134"/>
    </row>
    <row r="84" spans="1:3" ht="19.95" customHeight="1" x14ac:dyDescent="0.4">
      <c r="A84" s="19" t="s">
        <v>440</v>
      </c>
    </row>
    <row r="85" spans="1:3" ht="19.95" customHeight="1" x14ac:dyDescent="0.4">
      <c r="A85" s="19"/>
      <c r="B85" s="45" t="s">
        <v>441</v>
      </c>
    </row>
    <row r="86" spans="1:3" ht="21" x14ac:dyDescent="0.4">
      <c r="B86" s="21" t="s">
        <v>436</v>
      </c>
    </row>
    <row r="87" spans="1:3" ht="21" x14ac:dyDescent="0.4">
      <c r="B87" s="64"/>
    </row>
    <row r="88" spans="1:3" ht="27.6" x14ac:dyDescent="0.4">
      <c r="C88" s="46" t="s">
        <v>438</v>
      </c>
    </row>
  </sheetData>
  <mergeCells count="1">
    <mergeCell ref="A13:E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63"/>
  <sheetViews>
    <sheetView topLeftCell="A157" zoomScale="175" zoomScaleNormal="175" workbookViewId="0">
      <selection activeCell="F162" sqref="F162"/>
    </sheetView>
  </sheetViews>
  <sheetFormatPr defaultRowHeight="17.399999999999999" x14ac:dyDescent="0.4"/>
  <cols>
    <col min="3" max="3" width="14.296875" customWidth="1"/>
    <col min="5" max="5" width="7.19921875" customWidth="1"/>
  </cols>
  <sheetData>
    <row r="1" spans="1:9" ht="33" x14ac:dyDescent="0.4">
      <c r="A1" s="9" t="s">
        <v>15</v>
      </c>
    </row>
    <row r="2" spans="1:9" x14ac:dyDescent="0.4">
      <c r="A2" t="s">
        <v>16</v>
      </c>
    </row>
    <row r="3" spans="1:9" x14ac:dyDescent="0.4">
      <c r="A3" s="7" t="s">
        <v>17</v>
      </c>
    </row>
    <row r="4" spans="1:9" x14ac:dyDescent="0.4">
      <c r="A4" t="s">
        <v>18</v>
      </c>
      <c r="B4" s="4" t="s">
        <v>0</v>
      </c>
      <c r="C4" s="4" t="s">
        <v>3</v>
      </c>
      <c r="D4" s="4" t="s">
        <v>1</v>
      </c>
      <c r="E4" s="4" t="s">
        <v>2</v>
      </c>
      <c r="F4" s="4" t="s">
        <v>8</v>
      </c>
    </row>
    <row r="5" spans="1:9" x14ac:dyDescent="0.4">
      <c r="B5" s="1">
        <v>90</v>
      </c>
      <c r="C5" s="1">
        <v>70</v>
      </c>
      <c r="D5" s="1">
        <v>100</v>
      </c>
      <c r="E5" s="136"/>
      <c r="F5" s="75"/>
      <c r="G5" s="3" t="s">
        <v>19</v>
      </c>
      <c r="I5" s="3" t="s">
        <v>20</v>
      </c>
    </row>
    <row r="6" spans="1:9" x14ac:dyDescent="0.4">
      <c r="B6" s="1">
        <v>60</v>
      </c>
      <c r="C6" s="1">
        <v>60</v>
      </c>
      <c r="D6" s="1">
        <v>30</v>
      </c>
      <c r="E6" s="136"/>
      <c r="F6" s="75"/>
    </row>
    <row r="7" spans="1:9" x14ac:dyDescent="0.4">
      <c r="B7" s="1">
        <v>50</v>
      </c>
      <c r="C7" s="1">
        <v>50</v>
      </c>
      <c r="D7" s="1">
        <v>50</v>
      </c>
      <c r="E7" s="136"/>
      <c r="F7" s="75"/>
    </row>
    <row r="9" spans="1:9" x14ac:dyDescent="0.4">
      <c r="A9" t="s">
        <v>21</v>
      </c>
    </row>
    <row r="10" spans="1:9" x14ac:dyDescent="0.4">
      <c r="A10" t="s">
        <v>22</v>
      </c>
    </row>
    <row r="11" spans="1:9" x14ac:dyDescent="0.4">
      <c r="A11" s="7" t="s">
        <v>23</v>
      </c>
    </row>
    <row r="12" spans="1:9" x14ac:dyDescent="0.4">
      <c r="A12" s="7" t="s">
        <v>24</v>
      </c>
    </row>
    <row r="13" spans="1:9" x14ac:dyDescent="0.4">
      <c r="A13" s="7" t="s">
        <v>25</v>
      </c>
    </row>
    <row r="14" spans="1:9" x14ac:dyDescent="0.4">
      <c r="A14" s="7" t="s">
        <v>26</v>
      </c>
    </row>
    <row r="15" spans="1:9" x14ac:dyDescent="0.4">
      <c r="A15" s="11" t="s">
        <v>18</v>
      </c>
    </row>
    <row r="16" spans="1:9" x14ac:dyDescent="0.4">
      <c r="B16" s="4" t="s">
        <v>27</v>
      </c>
      <c r="E16" s="4" t="s">
        <v>154</v>
      </c>
    </row>
    <row r="17" spans="1:6" x14ac:dyDescent="0.4">
      <c r="B17" s="1">
        <v>90</v>
      </c>
      <c r="C17" s="156" t="s">
        <v>28</v>
      </c>
      <c r="D17" s="156"/>
      <c r="E17" s="75"/>
      <c r="F17" s="3" t="s">
        <v>32</v>
      </c>
    </row>
    <row r="18" spans="1:6" x14ac:dyDescent="0.4">
      <c r="B18" s="1">
        <v>100</v>
      </c>
      <c r="C18" s="156" t="s">
        <v>29</v>
      </c>
      <c r="D18" s="156"/>
      <c r="E18" s="75"/>
      <c r="F18" s="3" t="s">
        <v>33</v>
      </c>
    </row>
    <row r="19" spans="1:6" x14ac:dyDescent="0.4">
      <c r="B19" s="1">
        <v>20</v>
      </c>
      <c r="C19" s="156" t="s">
        <v>31</v>
      </c>
      <c r="D19" s="156"/>
      <c r="E19" s="75"/>
      <c r="F19" s="3" t="s">
        <v>34</v>
      </c>
    </row>
    <row r="20" spans="1:6" x14ac:dyDescent="0.4">
      <c r="B20" s="1">
        <v>50</v>
      </c>
      <c r="C20" s="156" t="s">
        <v>30</v>
      </c>
      <c r="D20" s="156"/>
      <c r="E20" s="75"/>
      <c r="F20" s="3" t="s">
        <v>35</v>
      </c>
    </row>
    <row r="21" spans="1:6" x14ac:dyDescent="0.4">
      <c r="B21" s="1">
        <v>40</v>
      </c>
    </row>
    <row r="23" spans="1:6" x14ac:dyDescent="0.4">
      <c r="A23" t="s">
        <v>49</v>
      </c>
    </row>
    <row r="24" spans="1:6" x14ac:dyDescent="0.4">
      <c r="A24" s="7" t="s">
        <v>38</v>
      </c>
    </row>
    <row r="25" spans="1:6" x14ac:dyDescent="0.4">
      <c r="A25" s="7" t="s">
        <v>36</v>
      </c>
    </row>
    <row r="26" spans="1:6" x14ac:dyDescent="0.4">
      <c r="A26" s="7" t="s">
        <v>37</v>
      </c>
    </row>
    <row r="27" spans="1:6" x14ac:dyDescent="0.4">
      <c r="A27" s="12" t="s">
        <v>18</v>
      </c>
      <c r="B27" s="4" t="s">
        <v>27</v>
      </c>
      <c r="C27" s="4" t="s">
        <v>39</v>
      </c>
    </row>
    <row r="28" spans="1:6" x14ac:dyDescent="0.4">
      <c r="B28" s="1">
        <v>90</v>
      </c>
      <c r="C28" s="75"/>
      <c r="D28" s="3" t="s">
        <v>40</v>
      </c>
    </row>
    <row r="29" spans="1:6" x14ac:dyDescent="0.4">
      <c r="B29" s="1">
        <v>100</v>
      </c>
      <c r="C29" s="75"/>
      <c r="D29" s="3" t="s">
        <v>44</v>
      </c>
    </row>
    <row r="30" spans="1:6" x14ac:dyDescent="0.4">
      <c r="B30" s="1">
        <v>20</v>
      </c>
      <c r="C30" s="75"/>
      <c r="D30" s="3" t="s">
        <v>45</v>
      </c>
    </row>
    <row r="31" spans="1:6" x14ac:dyDescent="0.4">
      <c r="B31" s="1">
        <v>40</v>
      </c>
      <c r="C31" s="75"/>
      <c r="D31" s="3" t="s">
        <v>288</v>
      </c>
    </row>
    <row r="32" spans="1:6" x14ac:dyDescent="0.4">
      <c r="B32" s="1">
        <v>100</v>
      </c>
      <c r="C32" s="75"/>
    </row>
    <row r="33" spans="2:4" x14ac:dyDescent="0.4">
      <c r="B33" s="1">
        <v>50</v>
      </c>
      <c r="C33" s="75"/>
    </row>
    <row r="35" spans="2:4" x14ac:dyDescent="0.4">
      <c r="B35" s="4" t="s">
        <v>27</v>
      </c>
      <c r="C35" s="4" t="s">
        <v>41</v>
      </c>
    </row>
    <row r="36" spans="2:4" x14ac:dyDescent="0.4">
      <c r="B36" s="1">
        <v>90</v>
      </c>
      <c r="C36" s="75"/>
      <c r="D36" s="3" t="s">
        <v>42</v>
      </c>
    </row>
    <row r="37" spans="2:4" x14ac:dyDescent="0.4">
      <c r="B37" s="1">
        <v>100</v>
      </c>
      <c r="C37" s="75"/>
      <c r="D37" s="3" t="s">
        <v>43</v>
      </c>
    </row>
    <row r="38" spans="2:4" x14ac:dyDescent="0.4">
      <c r="B38" s="1">
        <v>20</v>
      </c>
      <c r="C38" s="75"/>
    </row>
    <row r="39" spans="2:4" x14ac:dyDescent="0.4">
      <c r="B39" s="1">
        <v>40</v>
      </c>
      <c r="C39" s="75"/>
    </row>
    <row r="40" spans="2:4" x14ac:dyDescent="0.4">
      <c r="B40" s="1">
        <v>100</v>
      </c>
      <c r="C40" s="75"/>
    </row>
    <row r="41" spans="2:4" x14ac:dyDescent="0.4">
      <c r="B41" s="1">
        <v>50</v>
      </c>
      <c r="C41" s="75"/>
    </row>
    <row r="42" spans="2:4" x14ac:dyDescent="0.4">
      <c r="B42" s="7" t="s">
        <v>47</v>
      </c>
      <c r="C42" s="7"/>
      <c r="D42" s="7"/>
    </row>
    <row r="43" spans="2:4" x14ac:dyDescent="0.4">
      <c r="B43" s="4" t="s">
        <v>27</v>
      </c>
      <c r="C43" s="4" t="s">
        <v>39</v>
      </c>
    </row>
    <row r="44" spans="2:4" x14ac:dyDescent="0.4">
      <c r="B44" s="1">
        <v>90</v>
      </c>
      <c r="C44" s="75"/>
      <c r="D44" s="3" t="s">
        <v>46</v>
      </c>
    </row>
    <row r="45" spans="2:4" x14ac:dyDescent="0.4">
      <c r="B45" s="1">
        <v>100</v>
      </c>
      <c r="C45" s="75"/>
    </row>
    <row r="46" spans="2:4" x14ac:dyDescent="0.4">
      <c r="B46" s="1">
        <v>20</v>
      </c>
      <c r="C46" s="75"/>
    </row>
    <row r="47" spans="2:4" x14ac:dyDescent="0.4">
      <c r="B47" s="1">
        <v>40</v>
      </c>
      <c r="C47" s="75"/>
    </row>
    <row r="48" spans="2:4" x14ac:dyDescent="0.4">
      <c r="B48" s="1">
        <v>100</v>
      </c>
      <c r="C48" s="75"/>
    </row>
    <row r="49" spans="1:4" x14ac:dyDescent="0.4">
      <c r="B49" s="1">
        <v>50</v>
      </c>
      <c r="C49" s="75"/>
    </row>
    <row r="51" spans="1:4" x14ac:dyDescent="0.4">
      <c r="A51" t="s">
        <v>50</v>
      </c>
    </row>
    <row r="52" spans="1:4" x14ac:dyDescent="0.4">
      <c r="A52" s="7" t="s">
        <v>48</v>
      </c>
    </row>
    <row r="53" spans="1:4" x14ac:dyDescent="0.4">
      <c r="A53" s="7" t="s">
        <v>36</v>
      </c>
    </row>
    <row r="54" spans="1:4" x14ac:dyDescent="0.4">
      <c r="A54" s="7" t="s">
        <v>37</v>
      </c>
    </row>
    <row r="56" spans="1:4" x14ac:dyDescent="0.4">
      <c r="A56" s="7" t="s">
        <v>18</v>
      </c>
      <c r="B56" s="4" t="s">
        <v>27</v>
      </c>
      <c r="C56" s="4" t="s">
        <v>39</v>
      </c>
    </row>
    <row r="57" spans="1:4" x14ac:dyDescent="0.4">
      <c r="B57" s="1">
        <v>90</v>
      </c>
      <c r="C57" s="75"/>
      <c r="D57" s="3" t="s">
        <v>51</v>
      </c>
    </row>
    <row r="58" spans="1:4" x14ac:dyDescent="0.4">
      <c r="B58" s="1">
        <v>100</v>
      </c>
      <c r="C58" s="75"/>
    </row>
    <row r="59" spans="1:4" x14ac:dyDescent="0.4">
      <c r="B59" s="1">
        <v>20</v>
      </c>
      <c r="C59" s="75"/>
    </row>
    <row r="60" spans="1:4" x14ac:dyDescent="0.4">
      <c r="B60" s="1">
        <v>40</v>
      </c>
      <c r="C60" s="75"/>
    </row>
    <row r="61" spans="1:4" x14ac:dyDescent="0.4">
      <c r="B61" s="1">
        <v>100</v>
      </c>
      <c r="C61" s="75"/>
    </row>
    <row r="62" spans="1:4" x14ac:dyDescent="0.4">
      <c r="B62" s="1">
        <v>50</v>
      </c>
      <c r="C62" s="75"/>
    </row>
    <row r="64" spans="1:4" x14ac:dyDescent="0.4">
      <c r="A64" t="s">
        <v>52</v>
      </c>
    </row>
    <row r="65" spans="1:5" x14ac:dyDescent="0.4">
      <c r="A65" s="7" t="s">
        <v>53</v>
      </c>
    </row>
    <row r="66" spans="1:5" x14ac:dyDescent="0.4">
      <c r="B66" t="s">
        <v>54</v>
      </c>
    </row>
    <row r="67" spans="1:5" x14ac:dyDescent="0.4">
      <c r="A67" t="s">
        <v>18</v>
      </c>
      <c r="B67" s="4" t="s">
        <v>27</v>
      </c>
      <c r="D67" s="4" t="s">
        <v>154</v>
      </c>
    </row>
    <row r="68" spans="1:5" x14ac:dyDescent="0.4">
      <c r="B68" s="1">
        <v>90</v>
      </c>
      <c r="C68" s="4" t="s">
        <v>56</v>
      </c>
      <c r="D68" s="75"/>
      <c r="E68" s="3" t="s">
        <v>57</v>
      </c>
    </row>
    <row r="69" spans="1:5" x14ac:dyDescent="0.4">
      <c r="B69" s="1">
        <v>100</v>
      </c>
    </row>
    <row r="70" spans="1:5" x14ac:dyDescent="0.4">
      <c r="B70" s="1">
        <v>40</v>
      </c>
    </row>
    <row r="71" spans="1:5" x14ac:dyDescent="0.4">
      <c r="B71" s="1">
        <v>50</v>
      </c>
    </row>
    <row r="72" spans="1:5" x14ac:dyDescent="0.4">
      <c r="B72" s="1">
        <v>20</v>
      </c>
    </row>
    <row r="73" spans="1:5" x14ac:dyDescent="0.4">
      <c r="B73" t="s">
        <v>55</v>
      </c>
    </row>
    <row r="74" spans="1:5" x14ac:dyDescent="0.4">
      <c r="B74" s="4" t="s">
        <v>27</v>
      </c>
      <c r="C74" s="10"/>
      <c r="D74" s="4" t="s">
        <v>154</v>
      </c>
    </row>
    <row r="75" spans="1:5" x14ac:dyDescent="0.4">
      <c r="B75" s="1">
        <v>90</v>
      </c>
      <c r="C75" s="4" t="s">
        <v>56</v>
      </c>
      <c r="D75" s="75"/>
      <c r="E75" s="3" t="s">
        <v>58</v>
      </c>
    </row>
    <row r="76" spans="1:5" x14ac:dyDescent="0.4">
      <c r="B76" s="1">
        <v>100</v>
      </c>
    </row>
    <row r="77" spans="1:5" x14ac:dyDescent="0.4">
      <c r="B77" s="1">
        <v>40</v>
      </c>
    </row>
    <row r="78" spans="1:5" x14ac:dyDescent="0.4">
      <c r="B78" s="1">
        <v>50</v>
      </c>
    </row>
    <row r="80" spans="1:5" x14ac:dyDescent="0.4">
      <c r="A80" t="s">
        <v>59</v>
      </c>
    </row>
    <row r="81" spans="1:5" x14ac:dyDescent="0.4">
      <c r="A81" s="7" t="s">
        <v>60</v>
      </c>
    </row>
    <row r="83" spans="1:5" x14ac:dyDescent="0.4">
      <c r="A83" t="s">
        <v>18</v>
      </c>
      <c r="B83" s="4" t="s">
        <v>27</v>
      </c>
    </row>
    <row r="84" spans="1:5" x14ac:dyDescent="0.4">
      <c r="B84" s="1">
        <v>90</v>
      </c>
      <c r="D84" s="4" t="s">
        <v>154</v>
      </c>
    </row>
    <row r="85" spans="1:5" x14ac:dyDescent="0.4">
      <c r="B85" s="1">
        <v>100</v>
      </c>
      <c r="C85" s="1" t="s">
        <v>61</v>
      </c>
      <c r="D85" s="75"/>
    </row>
    <row r="86" spans="1:5" x14ac:dyDescent="0.4">
      <c r="B86" s="1">
        <v>40</v>
      </c>
      <c r="D86" s="3" t="s">
        <v>62</v>
      </c>
    </row>
    <row r="87" spans="1:5" x14ac:dyDescent="0.4">
      <c r="B87" s="1">
        <v>100</v>
      </c>
    </row>
    <row r="88" spans="1:5" x14ac:dyDescent="0.4">
      <c r="B88" s="1">
        <v>100</v>
      </c>
    </row>
    <row r="90" spans="1:5" x14ac:dyDescent="0.4">
      <c r="A90" t="s">
        <v>63</v>
      </c>
    </row>
    <row r="91" spans="1:5" x14ac:dyDescent="0.4">
      <c r="A91" s="7" t="s">
        <v>64</v>
      </c>
    </row>
    <row r="92" spans="1:5" x14ac:dyDescent="0.4">
      <c r="A92" s="7" t="s">
        <v>65</v>
      </c>
    </row>
    <row r="94" spans="1:5" x14ac:dyDescent="0.4">
      <c r="A94" t="s">
        <v>18</v>
      </c>
      <c r="B94" s="4" t="s">
        <v>27</v>
      </c>
      <c r="D94" s="4" t="s">
        <v>154</v>
      </c>
    </row>
    <row r="95" spans="1:5" x14ac:dyDescent="0.4">
      <c r="B95" s="1">
        <v>90</v>
      </c>
      <c r="C95" s="1" t="s">
        <v>66</v>
      </c>
      <c r="D95" s="75"/>
      <c r="E95" s="3" t="s">
        <v>68</v>
      </c>
    </row>
    <row r="96" spans="1:5" x14ac:dyDescent="0.4">
      <c r="B96" s="1">
        <v>100</v>
      </c>
      <c r="C96" s="1" t="s">
        <v>67</v>
      </c>
      <c r="D96" s="75"/>
      <c r="E96" s="3" t="s">
        <v>69</v>
      </c>
    </row>
    <row r="97" spans="1:7" x14ac:dyDescent="0.4">
      <c r="B97" s="1">
        <v>40</v>
      </c>
    </row>
    <row r="98" spans="1:7" x14ac:dyDescent="0.4">
      <c r="B98" s="1">
        <v>50</v>
      </c>
    </row>
    <row r="99" spans="1:7" x14ac:dyDescent="0.4">
      <c r="B99" s="1">
        <v>20</v>
      </c>
    </row>
    <row r="101" spans="1:7" x14ac:dyDescent="0.4">
      <c r="A101" t="s">
        <v>70</v>
      </c>
    </row>
    <row r="102" spans="1:7" x14ac:dyDescent="0.4">
      <c r="A102" t="s">
        <v>71</v>
      </c>
    </row>
    <row r="103" spans="1:7" x14ac:dyDescent="0.4">
      <c r="A103" s="7" t="s">
        <v>72</v>
      </c>
    </row>
    <row r="104" spans="1:7" x14ac:dyDescent="0.4">
      <c r="A104" s="7" t="s">
        <v>73</v>
      </c>
    </row>
    <row r="105" spans="1:7" x14ac:dyDescent="0.4">
      <c r="A105" s="7" t="s">
        <v>74</v>
      </c>
    </row>
    <row r="107" spans="1:7" ht="18" thickBot="1" x14ac:dyDescent="0.45">
      <c r="B107" s="102"/>
      <c r="C107" s="102"/>
      <c r="F107" s="4" t="s">
        <v>154</v>
      </c>
    </row>
    <row r="108" spans="1:7" x14ac:dyDescent="0.4">
      <c r="A108" s="7" t="s">
        <v>18</v>
      </c>
      <c r="B108" s="100">
        <v>90</v>
      </c>
      <c r="C108" s="101"/>
      <c r="D108" s="154" t="s">
        <v>75</v>
      </c>
      <c r="E108" s="155"/>
      <c r="F108" s="75"/>
      <c r="G108" s="3" t="s">
        <v>79</v>
      </c>
    </row>
    <row r="109" spans="1:7" x14ac:dyDescent="0.4">
      <c r="B109" s="103">
        <v>80</v>
      </c>
      <c r="C109" s="104" t="s">
        <v>11</v>
      </c>
      <c r="D109" s="154" t="s">
        <v>76</v>
      </c>
      <c r="E109" s="155"/>
      <c r="F109" s="75"/>
      <c r="G109" s="3" t="s">
        <v>80</v>
      </c>
    </row>
    <row r="110" spans="1:7" ht="18" thickBot="1" x14ac:dyDescent="0.45">
      <c r="B110" s="105">
        <v>30</v>
      </c>
      <c r="C110" s="106"/>
      <c r="D110" s="154" t="s">
        <v>77</v>
      </c>
      <c r="E110" s="155"/>
      <c r="F110" s="75"/>
      <c r="G110" s="3" t="s">
        <v>81</v>
      </c>
    </row>
    <row r="111" spans="1:7" x14ac:dyDescent="0.4">
      <c r="B111" s="7" t="s">
        <v>78</v>
      </c>
    </row>
    <row r="113" spans="1:5" x14ac:dyDescent="0.4">
      <c r="A113" t="s">
        <v>91</v>
      </c>
    </row>
    <row r="114" spans="1:5" x14ac:dyDescent="0.4">
      <c r="A114" s="7" t="s">
        <v>82</v>
      </c>
    </row>
    <row r="115" spans="1:5" x14ac:dyDescent="0.4">
      <c r="B115" s="7" t="s">
        <v>83</v>
      </c>
    </row>
    <row r="116" spans="1:5" x14ac:dyDescent="0.4">
      <c r="A116" t="s">
        <v>18</v>
      </c>
      <c r="B116" s="4" t="s">
        <v>27</v>
      </c>
      <c r="D116" s="4" t="s">
        <v>154</v>
      </c>
    </row>
    <row r="117" spans="1:5" x14ac:dyDescent="0.4">
      <c r="B117" s="1">
        <v>90</v>
      </c>
      <c r="C117" s="1" t="s">
        <v>84</v>
      </c>
      <c r="D117" s="75"/>
    </row>
    <row r="118" spans="1:5" x14ac:dyDescent="0.4">
      <c r="B118" s="1">
        <v>100</v>
      </c>
    </row>
    <row r="119" spans="1:5" x14ac:dyDescent="0.4">
      <c r="B119" s="1">
        <v>40</v>
      </c>
      <c r="E119" s="3" t="s">
        <v>85</v>
      </c>
    </row>
    <row r="120" spans="1:5" x14ac:dyDescent="0.4">
      <c r="B120" s="1">
        <v>50</v>
      </c>
    </row>
    <row r="121" spans="1:5" x14ac:dyDescent="0.4">
      <c r="B121" s="1">
        <v>20</v>
      </c>
    </row>
    <row r="122" spans="1:5" x14ac:dyDescent="0.4">
      <c r="B122" t="s">
        <v>88</v>
      </c>
    </row>
    <row r="123" spans="1:5" x14ac:dyDescent="0.4">
      <c r="B123" s="4" t="s">
        <v>9</v>
      </c>
      <c r="D123" s="4" t="s">
        <v>154</v>
      </c>
    </row>
    <row r="124" spans="1:5" x14ac:dyDescent="0.4">
      <c r="B124" s="1" t="s">
        <v>11</v>
      </c>
      <c r="C124" s="1" t="s">
        <v>87</v>
      </c>
      <c r="D124" s="75"/>
    </row>
    <row r="125" spans="1:5" x14ac:dyDescent="0.4">
      <c r="B125" s="1" t="s">
        <v>11</v>
      </c>
      <c r="C125" s="1" t="s">
        <v>87</v>
      </c>
      <c r="D125" s="75"/>
    </row>
    <row r="126" spans="1:5" x14ac:dyDescent="0.4">
      <c r="B126" s="1" t="s">
        <v>10</v>
      </c>
      <c r="E126" s="3" t="s">
        <v>89</v>
      </c>
    </row>
    <row r="127" spans="1:5" x14ac:dyDescent="0.4">
      <c r="B127" s="1" t="s">
        <v>12</v>
      </c>
      <c r="E127" s="3" t="s">
        <v>90</v>
      </c>
    </row>
    <row r="128" spans="1:5" x14ac:dyDescent="0.4">
      <c r="B128" s="1" t="s">
        <v>86</v>
      </c>
    </row>
    <row r="130" spans="1:6" x14ac:dyDescent="0.4">
      <c r="A130" t="s">
        <v>92</v>
      </c>
    </row>
    <row r="131" spans="1:6" x14ac:dyDescent="0.4">
      <c r="A131" s="7" t="s">
        <v>96</v>
      </c>
    </row>
    <row r="132" spans="1:6" x14ac:dyDescent="0.4">
      <c r="C132" s="7" t="s">
        <v>93</v>
      </c>
    </row>
    <row r="133" spans="1:6" x14ac:dyDescent="0.4">
      <c r="A133" t="s">
        <v>18</v>
      </c>
      <c r="B133" s="4" t="s">
        <v>9</v>
      </c>
      <c r="C133" s="4" t="s">
        <v>5</v>
      </c>
    </row>
    <row r="134" spans="1:6" x14ac:dyDescent="0.4">
      <c r="B134" s="1" t="s">
        <v>11</v>
      </c>
      <c r="C134" s="1">
        <v>100</v>
      </c>
      <c r="D134" s="156" t="s">
        <v>154</v>
      </c>
      <c r="E134" s="156"/>
      <c r="F134" s="156"/>
    </row>
    <row r="135" spans="1:6" x14ac:dyDescent="0.4">
      <c r="B135" s="1" t="s">
        <v>11</v>
      </c>
      <c r="C135" s="1">
        <v>200</v>
      </c>
      <c r="D135" s="156" t="s">
        <v>94</v>
      </c>
      <c r="E135" s="156"/>
      <c r="F135" s="156"/>
    </row>
    <row r="136" spans="1:6" x14ac:dyDescent="0.4">
      <c r="B136" s="1" t="s">
        <v>10</v>
      </c>
      <c r="C136" s="1">
        <v>50</v>
      </c>
      <c r="D136" s="157"/>
      <c r="E136" s="157"/>
      <c r="F136" s="157"/>
    </row>
    <row r="137" spans="1:6" x14ac:dyDescent="0.4">
      <c r="B137" s="1" t="s">
        <v>11</v>
      </c>
      <c r="C137" s="1">
        <v>300</v>
      </c>
      <c r="D137" s="3" t="s">
        <v>95</v>
      </c>
    </row>
    <row r="138" spans="1:6" x14ac:dyDescent="0.4">
      <c r="B138" s="1" t="s">
        <v>11</v>
      </c>
      <c r="C138" s="1">
        <v>150</v>
      </c>
    </row>
    <row r="140" spans="1:6" x14ac:dyDescent="0.4">
      <c r="A140" t="s">
        <v>104</v>
      </c>
    </row>
    <row r="141" spans="1:6" x14ac:dyDescent="0.4">
      <c r="A141" s="7" t="s">
        <v>97</v>
      </c>
    </row>
    <row r="142" spans="1:6" x14ac:dyDescent="0.4">
      <c r="B142" s="30" t="s">
        <v>4</v>
      </c>
      <c r="C142" s="30" t="s">
        <v>5</v>
      </c>
      <c r="D142" s="15" t="s">
        <v>98</v>
      </c>
    </row>
    <row r="143" spans="1:6" x14ac:dyDescent="0.4">
      <c r="B143" s="4" t="s">
        <v>6</v>
      </c>
      <c r="C143" s="4">
        <v>100</v>
      </c>
    </row>
    <row r="144" spans="1:6" x14ac:dyDescent="0.4">
      <c r="B144" s="1" t="s">
        <v>7</v>
      </c>
      <c r="C144" s="1">
        <v>200</v>
      </c>
      <c r="D144" s="2" t="s">
        <v>99</v>
      </c>
    </row>
    <row r="145" spans="1:9" x14ac:dyDescent="0.4">
      <c r="B145" s="4" t="s">
        <v>6</v>
      </c>
      <c r="C145" s="4">
        <v>300</v>
      </c>
    </row>
    <row r="146" spans="1:9" x14ac:dyDescent="0.4">
      <c r="B146" s="1" t="s">
        <v>7</v>
      </c>
      <c r="C146" s="1">
        <v>400</v>
      </c>
      <c r="D146" s="4" t="s">
        <v>154</v>
      </c>
      <c r="E146" s="75"/>
    </row>
    <row r="147" spans="1:9" x14ac:dyDescent="0.4">
      <c r="B147" s="4" t="s">
        <v>6</v>
      </c>
      <c r="C147" s="4">
        <v>500</v>
      </c>
      <c r="E147" s="3" t="s">
        <v>100</v>
      </c>
    </row>
    <row r="149" spans="1:9" ht="18" thickBot="1" x14ac:dyDescent="0.45">
      <c r="B149" s="30" t="s">
        <v>8</v>
      </c>
      <c r="C149" s="30" t="s">
        <v>5</v>
      </c>
    </row>
    <row r="150" spans="1:9" ht="18" thickBot="1" x14ac:dyDescent="0.45">
      <c r="B150" s="5">
        <v>90</v>
      </c>
      <c r="C150" s="59">
        <v>100</v>
      </c>
      <c r="D150" s="151" t="s">
        <v>101</v>
      </c>
      <c r="E150" s="152"/>
      <c r="F150" s="152"/>
      <c r="G150" s="152"/>
      <c r="H150" s="152"/>
      <c r="I150" s="153"/>
    </row>
    <row r="151" spans="1:9" x14ac:dyDescent="0.4">
      <c r="B151" s="1">
        <v>60</v>
      </c>
      <c r="C151" s="1">
        <v>200</v>
      </c>
      <c r="D151" s="107" t="s">
        <v>154</v>
      </c>
      <c r="E151" s="108"/>
    </row>
    <row r="152" spans="1:9" x14ac:dyDescent="0.4">
      <c r="B152" s="1">
        <v>70</v>
      </c>
      <c r="C152" s="1">
        <v>300</v>
      </c>
    </row>
    <row r="153" spans="1:9" x14ac:dyDescent="0.4">
      <c r="B153" s="5">
        <v>80</v>
      </c>
      <c r="C153" s="5">
        <v>400</v>
      </c>
      <c r="E153" s="3" t="s">
        <v>102</v>
      </c>
    </row>
    <row r="154" spans="1:9" x14ac:dyDescent="0.4">
      <c r="B154" s="1">
        <v>40</v>
      </c>
      <c r="C154" s="1">
        <v>500</v>
      </c>
    </row>
    <row r="155" spans="1:9" x14ac:dyDescent="0.4">
      <c r="B155" s="10"/>
      <c r="C155" s="10"/>
    </row>
    <row r="156" spans="1:9" x14ac:dyDescent="0.4">
      <c r="A156" t="s">
        <v>103</v>
      </c>
    </row>
    <row r="157" spans="1:9" x14ac:dyDescent="0.4">
      <c r="A157" s="7" t="s">
        <v>105</v>
      </c>
    </row>
    <row r="158" spans="1:9" x14ac:dyDescent="0.4">
      <c r="B158" s="1" t="s">
        <v>4</v>
      </c>
      <c r="C158" s="1" t="s">
        <v>9</v>
      </c>
      <c r="D158" s="1" t="s">
        <v>5</v>
      </c>
    </row>
    <row r="159" spans="1:9" x14ac:dyDescent="0.4">
      <c r="B159" s="5" t="s">
        <v>6</v>
      </c>
      <c r="C159" s="5" t="s">
        <v>10</v>
      </c>
      <c r="D159" s="5">
        <v>100</v>
      </c>
    </row>
    <row r="160" spans="1:9" ht="18" thickBot="1" x14ac:dyDescent="0.45">
      <c r="B160" s="1" t="s">
        <v>7</v>
      </c>
      <c r="C160" s="1" t="s">
        <v>11</v>
      </c>
      <c r="D160" s="1">
        <v>200</v>
      </c>
      <c r="E160" s="13"/>
    </row>
    <row r="161" spans="2:10" ht="18" thickBot="1" x14ac:dyDescent="0.45">
      <c r="B161" s="1" t="s">
        <v>6</v>
      </c>
      <c r="C161" s="1" t="s">
        <v>12</v>
      </c>
      <c r="D161" s="17">
        <v>300</v>
      </c>
      <c r="E161" s="151" t="s">
        <v>106</v>
      </c>
      <c r="F161" s="152"/>
      <c r="G161" s="152"/>
      <c r="H161" s="152"/>
      <c r="I161" s="152"/>
      <c r="J161" s="153"/>
    </row>
    <row r="162" spans="2:10" x14ac:dyDescent="0.4">
      <c r="B162" s="1" t="s">
        <v>7</v>
      </c>
      <c r="C162" s="1" t="s">
        <v>10</v>
      </c>
      <c r="D162" s="1">
        <v>400</v>
      </c>
      <c r="E162" s="107" t="s">
        <v>154</v>
      </c>
      <c r="F162" s="108"/>
    </row>
    <row r="163" spans="2:10" x14ac:dyDescent="0.4">
      <c r="B163" s="5" t="s">
        <v>6</v>
      </c>
      <c r="C163" s="5" t="s">
        <v>10</v>
      </c>
      <c r="D163" s="5">
        <v>500</v>
      </c>
      <c r="F163" s="14" t="s">
        <v>107</v>
      </c>
    </row>
  </sheetData>
  <mergeCells count="12">
    <mergeCell ref="D109:E109"/>
    <mergeCell ref="D134:F134"/>
    <mergeCell ref="C17:D17"/>
    <mergeCell ref="C18:D18"/>
    <mergeCell ref="C19:D19"/>
    <mergeCell ref="C20:D20"/>
    <mergeCell ref="D108:E108"/>
    <mergeCell ref="E161:J161"/>
    <mergeCell ref="D150:I150"/>
    <mergeCell ref="D110:E110"/>
    <mergeCell ref="D135:F135"/>
    <mergeCell ref="D136:F136"/>
  </mergeCells>
  <phoneticPr fontId="1" type="noConversion"/>
  <printOptions headings="1" gridLines="1"/>
  <pageMargins left="0.70866141732283472" right="0.70866141732283472" top="0.74803149606299213" bottom="0.74803149606299213" header="0.31496062992125984" footer="0.31496062992125984"/>
  <pageSetup paperSize="9" scale="90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44"/>
  <sheetViews>
    <sheetView topLeftCell="A37" zoomScale="235" zoomScaleNormal="235" workbookViewId="0">
      <selection activeCell="E10" sqref="E10"/>
    </sheetView>
  </sheetViews>
  <sheetFormatPr defaultRowHeight="17.399999999999999" x14ac:dyDescent="0.4"/>
  <cols>
    <col min="2" max="2" width="11.8984375" customWidth="1"/>
    <col min="3" max="3" width="16.5" customWidth="1"/>
  </cols>
  <sheetData>
    <row r="1" spans="1:6" ht="25.2" x14ac:dyDescent="0.4">
      <c r="A1" s="16" t="s">
        <v>108</v>
      </c>
    </row>
    <row r="2" spans="1:6" x14ac:dyDescent="0.4">
      <c r="A2" t="s">
        <v>109</v>
      </c>
    </row>
    <row r="3" spans="1:6" x14ac:dyDescent="0.4">
      <c r="A3" s="7" t="s">
        <v>112</v>
      </c>
    </row>
    <row r="4" spans="1:6" x14ac:dyDescent="0.4">
      <c r="A4" t="s">
        <v>110</v>
      </c>
    </row>
    <row r="5" spans="1:6" x14ac:dyDescent="0.4">
      <c r="A5" s="7" t="s">
        <v>113</v>
      </c>
    </row>
    <row r="6" spans="1:6" x14ac:dyDescent="0.4">
      <c r="A6" t="s">
        <v>111</v>
      </c>
    </row>
    <row r="7" spans="1:6" x14ac:dyDescent="0.4">
      <c r="A7" s="7" t="s">
        <v>114</v>
      </c>
    </row>
    <row r="9" spans="1:6" x14ac:dyDescent="0.4">
      <c r="A9" s="8" t="s">
        <v>18</v>
      </c>
      <c r="B9" s="4" t="s">
        <v>115</v>
      </c>
      <c r="E9" s="4" t="s">
        <v>154</v>
      </c>
    </row>
    <row r="10" spans="1:6" x14ac:dyDescent="0.4">
      <c r="B10" s="17" t="s">
        <v>116</v>
      </c>
      <c r="C10" s="158" t="s">
        <v>117</v>
      </c>
      <c r="D10" s="159"/>
      <c r="E10" s="109"/>
      <c r="F10" s="3" t="s">
        <v>120</v>
      </c>
    </row>
    <row r="11" spans="1:6" x14ac:dyDescent="0.4">
      <c r="C11" s="158" t="s">
        <v>118</v>
      </c>
      <c r="D11" s="159"/>
      <c r="E11" s="109"/>
      <c r="F11" s="3" t="s">
        <v>121</v>
      </c>
    </row>
    <row r="12" spans="1:6" x14ac:dyDescent="0.4">
      <c r="C12" s="157" t="s">
        <v>119</v>
      </c>
      <c r="D12" s="157"/>
      <c r="E12" s="109"/>
      <c r="F12" s="3" t="s">
        <v>122</v>
      </c>
    </row>
    <row r="14" spans="1:6" x14ac:dyDescent="0.4">
      <c r="A14" t="s">
        <v>123</v>
      </c>
    </row>
    <row r="16" spans="1:6" x14ac:dyDescent="0.4">
      <c r="A16" t="s">
        <v>18</v>
      </c>
      <c r="B16" s="4" t="s">
        <v>115</v>
      </c>
      <c r="D16" s="4" t="s">
        <v>154</v>
      </c>
    </row>
    <row r="17" spans="1:5" x14ac:dyDescent="0.4">
      <c r="B17" s="1" t="s">
        <v>116</v>
      </c>
      <c r="C17" s="1" t="s">
        <v>125</v>
      </c>
      <c r="D17" s="109"/>
      <c r="E17" s="3" t="s">
        <v>128</v>
      </c>
    </row>
    <row r="19" spans="1:5" x14ac:dyDescent="0.4">
      <c r="B19" s="4" t="s">
        <v>115</v>
      </c>
      <c r="D19" s="4" t="s">
        <v>154</v>
      </c>
    </row>
    <row r="20" spans="1:5" x14ac:dyDescent="0.4">
      <c r="B20" s="1" t="s">
        <v>124</v>
      </c>
      <c r="C20" s="1" t="s">
        <v>126</v>
      </c>
      <c r="D20" s="109"/>
      <c r="E20" s="3" t="s">
        <v>129</v>
      </c>
    </row>
    <row r="22" spans="1:5" x14ac:dyDescent="0.4">
      <c r="B22" s="4" t="s">
        <v>115</v>
      </c>
      <c r="D22" s="4" t="s">
        <v>154</v>
      </c>
    </row>
    <row r="23" spans="1:5" x14ac:dyDescent="0.4">
      <c r="B23" s="1" t="s">
        <v>116</v>
      </c>
      <c r="C23" s="1" t="s">
        <v>127</v>
      </c>
      <c r="D23" s="109"/>
      <c r="E23" s="3" t="s">
        <v>130</v>
      </c>
    </row>
    <row r="25" spans="1:5" x14ac:dyDescent="0.4">
      <c r="A25" t="s">
        <v>133</v>
      </c>
    </row>
    <row r="27" spans="1:5" x14ac:dyDescent="0.4">
      <c r="A27" t="s">
        <v>18</v>
      </c>
      <c r="B27" s="4" t="s">
        <v>115</v>
      </c>
      <c r="D27" s="4" t="s">
        <v>154</v>
      </c>
    </row>
    <row r="28" spans="1:5" x14ac:dyDescent="0.4">
      <c r="B28" s="1" t="s">
        <v>116</v>
      </c>
      <c r="C28" s="1" t="s">
        <v>131</v>
      </c>
      <c r="D28" s="109"/>
      <c r="E28" s="3" t="s">
        <v>132</v>
      </c>
    </row>
    <row r="30" spans="1:5" x14ac:dyDescent="0.4">
      <c r="A30" t="s">
        <v>137</v>
      </c>
    </row>
    <row r="32" spans="1:5" x14ac:dyDescent="0.4">
      <c r="A32" t="s">
        <v>18</v>
      </c>
      <c r="B32" s="4" t="s">
        <v>115</v>
      </c>
      <c r="D32" s="4" t="s">
        <v>154</v>
      </c>
    </row>
    <row r="33" spans="1:5" x14ac:dyDescent="0.4">
      <c r="B33" s="1" t="s">
        <v>134</v>
      </c>
      <c r="C33" s="1" t="s">
        <v>135</v>
      </c>
      <c r="D33" s="109"/>
      <c r="E33" s="3" t="s">
        <v>136</v>
      </c>
    </row>
    <row r="35" spans="1:5" x14ac:dyDescent="0.4">
      <c r="A35" t="s">
        <v>141</v>
      </c>
    </row>
    <row r="36" spans="1:5" x14ac:dyDescent="0.4">
      <c r="A36" t="s">
        <v>138</v>
      </c>
    </row>
    <row r="37" spans="1:5" x14ac:dyDescent="0.4">
      <c r="B37" s="4" t="s">
        <v>115</v>
      </c>
      <c r="D37" s="4" t="s">
        <v>154</v>
      </c>
    </row>
    <row r="38" spans="1:5" x14ac:dyDescent="0.4">
      <c r="B38" s="1" t="s">
        <v>140</v>
      </c>
      <c r="C38" s="1" t="s">
        <v>143</v>
      </c>
      <c r="D38" s="109"/>
      <c r="E38" s="2" t="s">
        <v>145</v>
      </c>
    </row>
    <row r="39" spans="1:5" x14ac:dyDescent="0.4">
      <c r="B39" s="10"/>
    </row>
    <row r="40" spans="1:5" x14ac:dyDescent="0.4">
      <c r="A40" t="s">
        <v>142</v>
      </c>
    </row>
    <row r="41" spans="1:5" x14ac:dyDescent="0.4">
      <c r="A41" t="s">
        <v>139</v>
      </c>
    </row>
    <row r="43" spans="1:5" x14ac:dyDescent="0.4">
      <c r="B43" s="4" t="s">
        <v>115</v>
      </c>
      <c r="D43" s="4" t="s">
        <v>154</v>
      </c>
    </row>
    <row r="44" spans="1:5" x14ac:dyDescent="0.4">
      <c r="B44" s="1" t="s">
        <v>116</v>
      </c>
      <c r="C44" s="1" t="s">
        <v>144</v>
      </c>
      <c r="D44" s="143"/>
      <c r="E44" s="3" t="s">
        <v>146</v>
      </c>
    </row>
  </sheetData>
  <mergeCells count="3">
    <mergeCell ref="C10:D10"/>
    <mergeCell ref="C11:D11"/>
    <mergeCell ref="C12:D12"/>
  </mergeCells>
  <phoneticPr fontId="1" type="noConversion"/>
  <pageMargins left="0.70866141732283472" right="0.70866141732283472" top="0.15748031496062992" bottom="0.15748031496062992" header="0" footer="0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4"/>
  <sheetViews>
    <sheetView topLeftCell="A10" zoomScale="160" zoomScaleNormal="160" workbookViewId="0">
      <selection activeCell="F48" sqref="F48"/>
    </sheetView>
  </sheetViews>
  <sheetFormatPr defaultRowHeight="17.399999999999999" x14ac:dyDescent="0.4"/>
  <cols>
    <col min="5" max="5" width="14.5" customWidth="1"/>
    <col min="6" max="6" width="15.5" customWidth="1"/>
    <col min="7" max="7" width="35" customWidth="1"/>
  </cols>
  <sheetData>
    <row r="1" spans="1:1" ht="33" x14ac:dyDescent="0.4">
      <c r="A1" s="29" t="s">
        <v>205</v>
      </c>
    </row>
    <row r="3" spans="1:1" x14ac:dyDescent="0.4">
      <c r="A3" t="s">
        <v>206</v>
      </c>
    </row>
    <row r="4" spans="1:1" x14ac:dyDescent="0.4">
      <c r="A4" s="7" t="s">
        <v>207</v>
      </c>
    </row>
    <row r="5" spans="1:1" x14ac:dyDescent="0.4">
      <c r="A5" t="s">
        <v>208</v>
      </c>
    </row>
    <row r="6" spans="1:1" x14ac:dyDescent="0.4">
      <c r="A6" s="7" t="s">
        <v>209</v>
      </c>
    </row>
    <row r="7" spans="1:1" x14ac:dyDescent="0.4">
      <c r="A7" t="s">
        <v>210</v>
      </c>
    </row>
    <row r="8" spans="1:1" x14ac:dyDescent="0.4">
      <c r="A8" s="7" t="s">
        <v>211</v>
      </c>
    </row>
    <row r="9" spans="1:1" x14ac:dyDescent="0.4">
      <c r="A9" t="s">
        <v>214</v>
      </c>
    </row>
    <row r="10" spans="1:1" x14ac:dyDescent="0.4">
      <c r="A10" s="7" t="s">
        <v>212</v>
      </c>
    </row>
    <row r="11" spans="1:1" x14ac:dyDescent="0.4">
      <c r="A11" t="s">
        <v>215</v>
      </c>
    </row>
    <row r="12" spans="1:1" x14ac:dyDescent="0.4">
      <c r="A12" s="7" t="s">
        <v>213</v>
      </c>
    </row>
    <row r="13" spans="1:1" x14ac:dyDescent="0.4">
      <c r="A13" t="s">
        <v>216</v>
      </c>
    </row>
    <row r="14" spans="1:1" x14ac:dyDescent="0.4">
      <c r="A14" s="7" t="s">
        <v>217</v>
      </c>
    </row>
    <row r="15" spans="1:1" x14ac:dyDescent="0.4">
      <c r="A15" t="s">
        <v>218</v>
      </c>
    </row>
    <row r="16" spans="1:1" x14ac:dyDescent="0.4">
      <c r="A16" s="7" t="s">
        <v>219</v>
      </c>
    </row>
    <row r="17" spans="1:7" x14ac:dyDescent="0.4">
      <c r="A17" t="s">
        <v>220</v>
      </c>
    </row>
    <row r="18" spans="1:7" x14ac:dyDescent="0.4">
      <c r="A18" s="7" t="s">
        <v>221</v>
      </c>
    </row>
    <row r="19" spans="1:7" x14ac:dyDescent="0.4">
      <c r="A19" s="7"/>
    </row>
    <row r="20" spans="1:7" x14ac:dyDescent="0.4">
      <c r="B20" s="7" t="s">
        <v>222</v>
      </c>
    </row>
    <row r="21" spans="1:7" x14ac:dyDescent="0.4">
      <c r="A21" s="12" t="s">
        <v>18</v>
      </c>
      <c r="B21" s="4" t="s">
        <v>4</v>
      </c>
      <c r="C21" s="4" t="s">
        <v>5</v>
      </c>
      <c r="F21" s="4" t="s">
        <v>154</v>
      </c>
      <c r="G21" s="4" t="s">
        <v>223</v>
      </c>
    </row>
    <row r="22" spans="1:7" x14ac:dyDescent="0.4">
      <c r="B22" s="5" t="s">
        <v>6</v>
      </c>
      <c r="C22" s="5">
        <v>100</v>
      </c>
      <c r="E22" s="31" t="s">
        <v>2</v>
      </c>
      <c r="F22" s="75"/>
      <c r="G22" s="32" t="s">
        <v>225</v>
      </c>
    </row>
    <row r="23" spans="1:7" x14ac:dyDescent="0.4">
      <c r="B23" s="1" t="s">
        <v>7</v>
      </c>
      <c r="C23" s="1">
        <v>300</v>
      </c>
      <c r="E23" s="31" t="s">
        <v>8</v>
      </c>
      <c r="F23" s="75"/>
      <c r="G23" s="32" t="s">
        <v>226</v>
      </c>
    </row>
    <row r="24" spans="1:7" x14ac:dyDescent="0.4">
      <c r="B24" s="5" t="s">
        <v>6</v>
      </c>
      <c r="C24" s="5">
        <v>50</v>
      </c>
      <c r="E24" s="31" t="s">
        <v>28</v>
      </c>
      <c r="F24" s="75"/>
      <c r="G24" s="32" t="s">
        <v>227</v>
      </c>
    </row>
    <row r="25" spans="1:7" x14ac:dyDescent="0.4">
      <c r="B25" s="1" t="s">
        <v>7</v>
      </c>
      <c r="C25" s="1">
        <v>250</v>
      </c>
      <c r="E25" s="31" t="s">
        <v>29</v>
      </c>
      <c r="F25" s="75"/>
      <c r="G25" s="32" t="s">
        <v>228</v>
      </c>
    </row>
    <row r="26" spans="1:7" x14ac:dyDescent="0.4">
      <c r="B26" s="5" t="s">
        <v>6</v>
      </c>
      <c r="C26" s="5">
        <v>400</v>
      </c>
      <c r="E26" s="31" t="s">
        <v>67</v>
      </c>
      <c r="F26" s="75"/>
      <c r="G26" s="32" t="s">
        <v>229</v>
      </c>
    </row>
    <row r="27" spans="1:7" x14ac:dyDescent="0.4">
      <c r="B27" s="1" t="s">
        <v>7</v>
      </c>
      <c r="C27" s="1">
        <v>600</v>
      </c>
      <c r="E27" s="31" t="s">
        <v>66</v>
      </c>
      <c r="F27" s="75"/>
      <c r="G27" s="32" t="s">
        <v>230</v>
      </c>
    </row>
    <row r="31" spans="1:7" x14ac:dyDescent="0.4">
      <c r="B31" s="7" t="s">
        <v>224</v>
      </c>
    </row>
    <row r="32" spans="1:7" x14ac:dyDescent="0.4">
      <c r="B32" s="4" t="s">
        <v>4</v>
      </c>
      <c r="C32" s="4" t="s">
        <v>5</v>
      </c>
    </row>
    <row r="33" spans="1:7" x14ac:dyDescent="0.4">
      <c r="B33" s="1" t="s">
        <v>6</v>
      </c>
      <c r="C33" s="1">
        <v>100</v>
      </c>
      <c r="F33" s="4" t="s">
        <v>154</v>
      </c>
      <c r="G33" s="4" t="s">
        <v>223</v>
      </c>
    </row>
    <row r="34" spans="1:7" x14ac:dyDescent="0.4">
      <c r="B34" s="30" t="s">
        <v>7</v>
      </c>
      <c r="C34" s="30">
        <v>300</v>
      </c>
      <c r="E34" s="31" t="s">
        <v>2</v>
      </c>
      <c r="F34" s="75"/>
      <c r="G34" s="32" t="s">
        <v>232</v>
      </c>
    </row>
    <row r="35" spans="1:7" x14ac:dyDescent="0.4">
      <c r="B35" s="1" t="s">
        <v>6</v>
      </c>
      <c r="C35" s="1">
        <v>50</v>
      </c>
      <c r="E35" s="31" t="s">
        <v>8</v>
      </c>
      <c r="F35" s="75"/>
      <c r="G35" s="32" t="s">
        <v>233</v>
      </c>
    </row>
    <row r="36" spans="1:7" x14ac:dyDescent="0.4">
      <c r="B36" s="30" t="s">
        <v>7</v>
      </c>
      <c r="C36" s="30">
        <v>250</v>
      </c>
      <c r="E36" s="31" t="s">
        <v>28</v>
      </c>
      <c r="F36" s="75"/>
      <c r="G36" s="32" t="s">
        <v>234</v>
      </c>
    </row>
    <row r="37" spans="1:7" x14ac:dyDescent="0.4">
      <c r="B37" s="1" t="s">
        <v>6</v>
      </c>
      <c r="C37" s="1">
        <v>400</v>
      </c>
      <c r="E37" s="31" t="s">
        <v>29</v>
      </c>
      <c r="F37" s="75"/>
      <c r="G37" s="32" t="s">
        <v>235</v>
      </c>
    </row>
    <row r="38" spans="1:7" x14ac:dyDescent="0.4">
      <c r="B38" s="30" t="s">
        <v>7</v>
      </c>
      <c r="C38" s="30">
        <v>600</v>
      </c>
      <c r="E38" s="31" t="s">
        <v>67</v>
      </c>
      <c r="F38" s="75"/>
      <c r="G38" s="32" t="s">
        <v>236</v>
      </c>
    </row>
    <row r="39" spans="1:7" x14ac:dyDescent="0.4">
      <c r="E39" s="31" t="s">
        <v>66</v>
      </c>
      <c r="F39" s="75"/>
      <c r="G39" s="32" t="s">
        <v>237</v>
      </c>
    </row>
    <row r="40" spans="1:7" x14ac:dyDescent="0.4">
      <c r="A40" s="33" t="s">
        <v>231</v>
      </c>
      <c r="B40" s="4" t="s">
        <v>4</v>
      </c>
    </row>
    <row r="41" spans="1:7" x14ac:dyDescent="0.4">
      <c r="B41" s="30" t="s">
        <v>7</v>
      </c>
    </row>
    <row r="44" spans="1:7" x14ac:dyDescent="0.4">
      <c r="B44" s="7" t="s">
        <v>238</v>
      </c>
    </row>
    <row r="45" spans="1:7" x14ac:dyDescent="0.4">
      <c r="B45" s="4" t="s">
        <v>4</v>
      </c>
      <c r="C45" s="4" t="s">
        <v>5</v>
      </c>
    </row>
    <row r="46" spans="1:7" x14ac:dyDescent="0.4">
      <c r="B46" s="1" t="s">
        <v>6</v>
      </c>
      <c r="C46" s="1">
        <v>100</v>
      </c>
      <c r="F46" s="4" t="s">
        <v>154</v>
      </c>
      <c r="G46" s="4" t="s">
        <v>223</v>
      </c>
    </row>
    <row r="47" spans="1:7" x14ac:dyDescent="0.4">
      <c r="B47" s="30" t="s">
        <v>7</v>
      </c>
      <c r="C47" s="30">
        <v>300</v>
      </c>
      <c r="E47" s="31" t="s">
        <v>239</v>
      </c>
      <c r="F47" s="75"/>
      <c r="G47" s="32" t="s">
        <v>242</v>
      </c>
    </row>
    <row r="48" spans="1:7" x14ac:dyDescent="0.4">
      <c r="B48" s="1" t="s">
        <v>6</v>
      </c>
      <c r="C48" s="1">
        <v>50</v>
      </c>
      <c r="E48" s="31" t="s">
        <v>240</v>
      </c>
      <c r="F48" s="75"/>
      <c r="G48" s="32" t="s">
        <v>243</v>
      </c>
    </row>
    <row r="49" spans="1:4" x14ac:dyDescent="0.4">
      <c r="B49" s="30" t="s">
        <v>7</v>
      </c>
      <c r="C49" s="30">
        <v>250</v>
      </c>
    </row>
    <row r="50" spans="1:4" x14ac:dyDescent="0.4">
      <c r="B50" s="1" t="s">
        <v>6</v>
      </c>
      <c r="C50" s="1">
        <v>400</v>
      </c>
    </row>
    <row r="51" spans="1:4" x14ac:dyDescent="0.4">
      <c r="B51" s="30" t="s">
        <v>7</v>
      </c>
      <c r="C51" s="30">
        <v>600</v>
      </c>
    </row>
    <row r="53" spans="1:4" x14ac:dyDescent="0.4">
      <c r="A53" s="33" t="s">
        <v>231</v>
      </c>
      <c r="B53" s="4" t="s">
        <v>4</v>
      </c>
      <c r="D53" s="4" t="s">
        <v>5</v>
      </c>
    </row>
    <row r="54" spans="1:4" x14ac:dyDescent="0.4">
      <c r="B54" s="30" t="s">
        <v>7</v>
      </c>
      <c r="D54" s="110" t="s">
        <v>241</v>
      </c>
    </row>
  </sheetData>
  <phoneticPr fontId="1" type="noConversion"/>
  <printOptions headings="1" gridLines="1"/>
  <pageMargins left="0.31496062992125984" right="0.11811023622047245" top="0.74803149606299213" bottom="0.74803149606299213" header="0" footer="0"/>
  <pageSetup paperSize="9" orientation="landscape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BCDE-D84A-494A-B176-388C8975C6CA}">
  <dimension ref="A1:J64"/>
  <sheetViews>
    <sheetView topLeftCell="A64" zoomScale="130" zoomScaleNormal="130" workbookViewId="0">
      <selection activeCell="G63" sqref="G63"/>
    </sheetView>
  </sheetViews>
  <sheetFormatPr defaultRowHeight="17.399999999999999" x14ac:dyDescent="0.4"/>
  <cols>
    <col min="2" max="2" width="12.796875" customWidth="1"/>
    <col min="3" max="3" width="15.09765625" customWidth="1"/>
    <col min="4" max="4" width="12.296875" customWidth="1"/>
  </cols>
  <sheetData>
    <row r="1" spans="1:2" ht="30" x14ac:dyDescent="0.4">
      <c r="A1" s="55" t="s">
        <v>376</v>
      </c>
    </row>
    <row r="2" spans="1:2" ht="27.6" x14ac:dyDescent="0.4">
      <c r="A2" s="50" t="s">
        <v>377</v>
      </c>
    </row>
    <row r="3" spans="1:2" x14ac:dyDescent="0.4">
      <c r="A3" s="7" t="s">
        <v>378</v>
      </c>
    </row>
    <row r="5" spans="1:2" ht="27.6" x14ac:dyDescent="0.4">
      <c r="A5" s="50" t="s">
        <v>379</v>
      </c>
    </row>
    <row r="6" spans="1:2" x14ac:dyDescent="0.4">
      <c r="A6" s="7" t="s">
        <v>380</v>
      </c>
    </row>
    <row r="7" spans="1:2" x14ac:dyDescent="0.4">
      <c r="A7" s="7" t="s">
        <v>381</v>
      </c>
    </row>
    <row r="9" spans="1:2" ht="27.6" x14ac:dyDescent="0.4">
      <c r="A9" s="50" t="s">
        <v>382</v>
      </c>
    </row>
    <row r="10" spans="1:2" ht="25.2" x14ac:dyDescent="0.4">
      <c r="A10" s="52" t="s">
        <v>383</v>
      </c>
    </row>
    <row r="11" spans="1:2" x14ac:dyDescent="0.4">
      <c r="A11" t="s">
        <v>18</v>
      </c>
    </row>
    <row r="12" spans="1:2" ht="27.6" x14ac:dyDescent="0.4">
      <c r="B12" s="46" t="s">
        <v>384</v>
      </c>
    </row>
    <row r="13" spans="1:2" x14ac:dyDescent="0.4">
      <c r="B13" s="7"/>
    </row>
    <row r="14" spans="1:2" ht="25.2" x14ac:dyDescent="0.4">
      <c r="B14" s="45" t="s">
        <v>385</v>
      </c>
    </row>
    <row r="15" spans="1:2" x14ac:dyDescent="0.4">
      <c r="B15" s="7"/>
    </row>
    <row r="16" spans="1:2" ht="25.2" x14ac:dyDescent="0.4">
      <c r="B16" s="45" t="s">
        <v>386</v>
      </c>
    </row>
    <row r="17" spans="2:4" x14ac:dyDescent="0.4">
      <c r="B17" s="7"/>
    </row>
    <row r="18" spans="2:4" ht="25.2" x14ac:dyDescent="0.4">
      <c r="B18" s="45" t="s">
        <v>387</v>
      </c>
    </row>
    <row r="20" spans="2:4" ht="27.6" x14ac:dyDescent="0.4">
      <c r="B20" s="46" t="s">
        <v>388</v>
      </c>
    </row>
    <row r="22" spans="2:4" ht="25.2" x14ac:dyDescent="0.4">
      <c r="B22" s="16" t="s">
        <v>389</v>
      </c>
      <c r="C22" s="69"/>
      <c r="D22" s="69"/>
    </row>
    <row r="23" spans="2:4" ht="25.2" x14ac:dyDescent="0.4">
      <c r="B23" s="70" t="s">
        <v>27</v>
      </c>
      <c r="C23" s="70" t="s">
        <v>390</v>
      </c>
      <c r="D23" s="69"/>
    </row>
    <row r="24" spans="2:4" ht="25.2" x14ac:dyDescent="0.4">
      <c r="B24" s="71">
        <v>90</v>
      </c>
      <c r="C24" s="111"/>
    </row>
    <row r="25" spans="2:4" ht="25.2" x14ac:dyDescent="0.4">
      <c r="B25" s="71">
        <v>50</v>
      </c>
      <c r="C25" s="111"/>
      <c r="D25" s="45" t="s">
        <v>391</v>
      </c>
    </row>
    <row r="26" spans="2:4" ht="25.2" x14ac:dyDescent="0.4">
      <c r="B26" s="71">
        <v>40</v>
      </c>
      <c r="C26" s="111"/>
      <c r="D26" s="69"/>
    </row>
    <row r="27" spans="2:4" ht="25.2" x14ac:dyDescent="0.4">
      <c r="B27" s="71">
        <v>100</v>
      </c>
      <c r="C27" s="111"/>
      <c r="D27" s="69"/>
    </row>
    <row r="28" spans="2:4" ht="21" x14ac:dyDescent="0.4">
      <c r="B28" s="20" t="s">
        <v>392</v>
      </c>
    </row>
    <row r="29" spans="2:4" ht="25.2" x14ac:dyDescent="0.4">
      <c r="B29" s="70" t="s">
        <v>393</v>
      </c>
      <c r="C29" s="70" t="s">
        <v>4</v>
      </c>
    </row>
    <row r="30" spans="2:4" ht="25.2" x14ac:dyDescent="0.4">
      <c r="B30" s="71" t="s">
        <v>394</v>
      </c>
      <c r="C30" s="111"/>
    </row>
    <row r="31" spans="2:4" ht="30" x14ac:dyDescent="0.4">
      <c r="B31" s="71" t="s">
        <v>396</v>
      </c>
      <c r="C31" s="111"/>
      <c r="D31" s="47" t="s">
        <v>395</v>
      </c>
    </row>
    <row r="32" spans="2:4" ht="25.2" x14ac:dyDescent="0.4">
      <c r="B32" s="71" t="s">
        <v>397</v>
      </c>
      <c r="C32" s="111"/>
    </row>
    <row r="33" spans="1:10" ht="25.2" x14ac:dyDescent="0.4">
      <c r="B33" s="71" t="s">
        <v>398</v>
      </c>
      <c r="C33" s="111"/>
    </row>
    <row r="35" spans="1:10" ht="27.6" x14ac:dyDescent="0.4">
      <c r="A35" s="50" t="s">
        <v>399</v>
      </c>
    </row>
    <row r="36" spans="1:10" ht="27.6" x14ac:dyDescent="0.4">
      <c r="A36" s="72" t="s">
        <v>400</v>
      </c>
    </row>
    <row r="37" spans="1:10" ht="24.75" customHeight="1" x14ac:dyDescent="0.4"/>
    <row r="38" spans="1:10" ht="41.25" customHeight="1" x14ac:dyDescent="0.4">
      <c r="B38" s="70" t="s">
        <v>27</v>
      </c>
      <c r="C38" s="70" t="s">
        <v>13</v>
      </c>
      <c r="D38" s="160" t="s">
        <v>401</v>
      </c>
      <c r="E38" s="161"/>
      <c r="F38" s="161"/>
      <c r="G38" s="161"/>
      <c r="H38" s="161"/>
      <c r="I38" s="161"/>
      <c r="J38" s="161"/>
    </row>
    <row r="39" spans="1:10" ht="25.2" x14ac:dyDescent="0.4">
      <c r="B39" s="71">
        <v>10</v>
      </c>
      <c r="C39" s="111"/>
    </row>
    <row r="40" spans="1:10" ht="25.2" x14ac:dyDescent="0.4">
      <c r="B40" s="71" t="s">
        <v>396</v>
      </c>
      <c r="C40" s="111"/>
    </row>
    <row r="41" spans="1:10" ht="25.2" x14ac:dyDescent="0.4">
      <c r="B41" s="71">
        <v>20</v>
      </c>
      <c r="C41" s="111"/>
      <c r="D41" s="45" t="s">
        <v>402</v>
      </c>
    </row>
    <row r="42" spans="1:10" ht="25.2" x14ac:dyDescent="0.4">
      <c r="B42" s="71">
        <v>40</v>
      </c>
      <c r="C42" s="111"/>
    </row>
    <row r="44" spans="1:10" ht="27.6" x14ac:dyDescent="0.4">
      <c r="A44" s="50" t="s">
        <v>419</v>
      </c>
    </row>
    <row r="45" spans="1:10" ht="25.2" x14ac:dyDescent="0.4">
      <c r="B45" s="16" t="s">
        <v>420</v>
      </c>
    </row>
    <row r="46" spans="1:10" ht="25.2" x14ac:dyDescent="0.4">
      <c r="B46" s="70" t="s">
        <v>27</v>
      </c>
      <c r="C46" s="70" t="s">
        <v>390</v>
      </c>
    </row>
    <row r="47" spans="1:10" ht="25.2" x14ac:dyDescent="0.4">
      <c r="B47" s="71">
        <v>90</v>
      </c>
      <c r="C47" s="111"/>
    </row>
    <row r="48" spans="1:10" ht="25.2" x14ac:dyDescent="0.4">
      <c r="B48" s="71">
        <v>50</v>
      </c>
      <c r="C48" s="111"/>
      <c r="D48" s="24" t="s">
        <v>421</v>
      </c>
    </row>
    <row r="49" spans="1:5" ht="25.2" x14ac:dyDescent="0.4">
      <c r="B49" s="71">
        <v>40</v>
      </c>
      <c r="C49" s="111"/>
    </row>
    <row r="50" spans="1:5" ht="25.2" x14ac:dyDescent="0.4">
      <c r="B50" s="71">
        <v>100</v>
      </c>
      <c r="C50" s="111"/>
    </row>
    <row r="54" spans="1:5" ht="27.6" x14ac:dyDescent="0.4">
      <c r="A54" s="50" t="s">
        <v>422</v>
      </c>
    </row>
    <row r="55" spans="1:5" ht="28.2" thickBot="1" x14ac:dyDescent="0.45">
      <c r="B55" s="125" t="s">
        <v>434</v>
      </c>
    </row>
    <row r="56" spans="1:5" ht="25.2" x14ac:dyDescent="0.4">
      <c r="B56" s="126" t="s">
        <v>423</v>
      </c>
      <c r="C56" s="127" t="s">
        <v>424</v>
      </c>
      <c r="D56" s="128" t="s">
        <v>425</v>
      </c>
    </row>
    <row r="57" spans="1:5" ht="25.2" x14ac:dyDescent="0.55000000000000004">
      <c r="B57" s="129">
        <v>45387</v>
      </c>
      <c r="C57" s="130" t="s">
        <v>426</v>
      </c>
      <c r="D57" s="131"/>
    </row>
    <row r="58" spans="1:5" ht="25.2" x14ac:dyDescent="0.55000000000000004">
      <c r="B58" s="129">
        <v>45607</v>
      </c>
      <c r="C58" s="130" t="s">
        <v>427</v>
      </c>
      <c r="D58" s="131"/>
    </row>
    <row r="59" spans="1:5" ht="25.2" x14ac:dyDescent="0.55000000000000004">
      <c r="B59" s="129">
        <v>45374</v>
      </c>
      <c r="C59" s="130" t="s">
        <v>428</v>
      </c>
      <c r="D59" s="131"/>
      <c r="E59" s="45" t="s">
        <v>435</v>
      </c>
    </row>
    <row r="60" spans="1:5" ht="25.2" x14ac:dyDescent="0.55000000000000004">
      <c r="B60" s="129">
        <v>45638</v>
      </c>
      <c r="C60" s="130" t="s">
        <v>429</v>
      </c>
      <c r="D60" s="131"/>
    </row>
    <row r="61" spans="1:5" ht="25.2" x14ac:dyDescent="0.55000000000000004">
      <c r="B61" s="129">
        <v>45420</v>
      </c>
      <c r="C61" s="130" t="s">
        <v>430</v>
      </c>
      <c r="D61" s="131"/>
    </row>
    <row r="62" spans="1:5" ht="25.2" x14ac:dyDescent="0.55000000000000004">
      <c r="B62" s="129">
        <v>45550</v>
      </c>
      <c r="C62" s="130" t="s">
        <v>431</v>
      </c>
      <c r="D62" s="131"/>
    </row>
    <row r="63" spans="1:5" ht="25.2" x14ac:dyDescent="0.55000000000000004">
      <c r="B63" s="129">
        <v>45410</v>
      </c>
      <c r="C63" s="130" t="s">
        <v>432</v>
      </c>
      <c r="D63" s="131"/>
    </row>
    <row r="64" spans="1:5" ht="25.8" thickBot="1" x14ac:dyDescent="0.6">
      <c r="B64" s="132">
        <v>45548</v>
      </c>
      <c r="C64" s="133" t="s">
        <v>433</v>
      </c>
      <c r="D64" s="131"/>
    </row>
  </sheetData>
  <mergeCells count="1">
    <mergeCell ref="D38:J3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0"/>
  <sheetViews>
    <sheetView tabSelected="1" topLeftCell="A28" zoomScale="115" zoomScaleNormal="115" zoomScaleSheetLayoutView="100" workbookViewId="0">
      <selection activeCell="E37" sqref="E37"/>
    </sheetView>
  </sheetViews>
  <sheetFormatPr defaultRowHeight="17.399999999999999" x14ac:dyDescent="0.4"/>
  <cols>
    <col min="1" max="1" width="5.19921875" customWidth="1"/>
    <col min="2" max="2" width="17.5" customWidth="1"/>
    <col min="3" max="3" width="12.09765625" customWidth="1"/>
    <col min="6" max="6" width="39.3984375" customWidth="1"/>
  </cols>
  <sheetData>
    <row r="1" spans="1:9" ht="36" x14ac:dyDescent="0.4">
      <c r="A1" s="35" t="s">
        <v>244</v>
      </c>
    </row>
    <row r="3" spans="1:9" ht="123.75" customHeight="1" x14ac:dyDescent="0.4">
      <c r="A3" s="162" t="s">
        <v>257</v>
      </c>
      <c r="B3" s="162"/>
      <c r="C3" s="162"/>
      <c r="D3" s="162"/>
      <c r="E3" s="162"/>
      <c r="F3" s="162"/>
      <c r="G3" s="162"/>
      <c r="H3" s="162"/>
      <c r="I3" s="162"/>
    </row>
    <row r="4" spans="1:9" ht="21" x14ac:dyDescent="0.4">
      <c r="A4" s="36"/>
      <c r="B4" s="36"/>
      <c r="C4" s="36"/>
      <c r="D4" s="36"/>
      <c r="E4" s="36"/>
      <c r="F4" s="36"/>
      <c r="G4" s="36"/>
      <c r="H4" s="36"/>
      <c r="I4" s="36"/>
    </row>
    <row r="5" spans="1:9" ht="21" x14ac:dyDescent="0.4">
      <c r="A5" s="36"/>
      <c r="B5" s="38" t="s">
        <v>245</v>
      </c>
      <c r="C5" s="38" t="s">
        <v>246</v>
      </c>
      <c r="D5" s="38" t="s">
        <v>247</v>
      </c>
      <c r="E5" s="36"/>
      <c r="F5" s="43" t="s">
        <v>255</v>
      </c>
      <c r="G5" s="36"/>
      <c r="H5" s="36"/>
      <c r="I5" s="36"/>
    </row>
    <row r="6" spans="1:9" ht="21" x14ac:dyDescent="0.4">
      <c r="A6" s="36"/>
      <c r="B6" s="37" t="s">
        <v>248</v>
      </c>
      <c r="C6" s="37">
        <v>10</v>
      </c>
      <c r="D6" s="37">
        <v>1000</v>
      </c>
      <c r="E6" s="40" t="s">
        <v>249</v>
      </c>
      <c r="F6" s="112"/>
      <c r="G6" s="36"/>
      <c r="H6" s="36"/>
      <c r="I6" s="36"/>
    </row>
    <row r="7" spans="1:9" ht="25.2" x14ac:dyDescent="0.4">
      <c r="A7" s="36"/>
      <c r="B7" s="37" t="s">
        <v>249</v>
      </c>
      <c r="C7" s="37">
        <v>20</v>
      </c>
      <c r="D7" s="37">
        <v>1500</v>
      </c>
      <c r="E7" s="36"/>
      <c r="F7" s="44" t="s">
        <v>258</v>
      </c>
      <c r="G7" s="36"/>
      <c r="H7" s="36"/>
      <c r="I7" s="36"/>
    </row>
    <row r="8" spans="1:9" ht="21" x14ac:dyDescent="0.4">
      <c r="A8" s="36"/>
      <c r="B8" s="37" t="s">
        <v>250</v>
      </c>
      <c r="C8" s="37">
        <v>30</v>
      </c>
      <c r="D8" s="37">
        <v>2000</v>
      </c>
      <c r="E8" s="36"/>
      <c r="F8" s="36"/>
      <c r="G8" s="36"/>
      <c r="H8" s="36"/>
      <c r="I8" s="36"/>
    </row>
    <row r="9" spans="1:9" ht="21" x14ac:dyDescent="0.4">
      <c r="A9" s="36"/>
      <c r="B9" s="41"/>
      <c r="C9" s="41"/>
      <c r="D9" s="41"/>
      <c r="E9" s="36"/>
      <c r="F9" s="36"/>
      <c r="G9" s="36"/>
      <c r="H9" s="36"/>
      <c r="I9" s="36"/>
    </row>
    <row r="10" spans="1:9" ht="21" x14ac:dyDescent="0.4">
      <c r="A10" s="36"/>
      <c r="B10" s="38" t="s">
        <v>246</v>
      </c>
      <c r="C10" s="38" t="s">
        <v>245</v>
      </c>
      <c r="D10" s="38" t="s">
        <v>247</v>
      </c>
      <c r="E10" s="36"/>
      <c r="F10" s="43" t="s">
        <v>255</v>
      </c>
      <c r="G10" s="36"/>
      <c r="H10" s="36"/>
      <c r="I10" s="36"/>
    </row>
    <row r="11" spans="1:9" ht="21" x14ac:dyDescent="0.4">
      <c r="A11" s="36"/>
      <c r="B11" s="37">
        <v>10</v>
      </c>
      <c r="C11" s="37" t="s">
        <v>248</v>
      </c>
      <c r="D11" s="37">
        <v>1000</v>
      </c>
      <c r="E11" s="40" t="s">
        <v>249</v>
      </c>
      <c r="F11" s="112"/>
      <c r="G11" s="36"/>
      <c r="H11" s="36"/>
      <c r="I11" s="36"/>
    </row>
    <row r="12" spans="1:9" ht="25.2" x14ac:dyDescent="0.4">
      <c r="A12" s="36"/>
      <c r="B12" s="37">
        <v>20</v>
      </c>
      <c r="C12" s="37" t="s">
        <v>249</v>
      </c>
      <c r="D12" s="37">
        <v>1500</v>
      </c>
      <c r="F12" s="44" t="s">
        <v>259</v>
      </c>
      <c r="G12" s="36"/>
      <c r="H12" s="36"/>
      <c r="I12" s="36"/>
    </row>
    <row r="13" spans="1:9" ht="21" x14ac:dyDescent="0.4">
      <c r="A13" s="36"/>
      <c r="B13" s="37">
        <v>30</v>
      </c>
      <c r="C13" s="37" t="s">
        <v>250</v>
      </c>
      <c r="D13" s="37">
        <v>2000</v>
      </c>
      <c r="F13" s="36"/>
      <c r="G13" s="36"/>
      <c r="H13" s="36"/>
      <c r="I13" s="36"/>
    </row>
    <row r="14" spans="1:9" ht="21" x14ac:dyDescent="0.4">
      <c r="A14" s="36"/>
      <c r="B14" s="36"/>
      <c r="C14" s="36"/>
      <c r="D14" s="36"/>
    </row>
    <row r="15" spans="1:9" ht="21" x14ac:dyDescent="0.4">
      <c r="A15" s="36"/>
      <c r="B15" s="40" t="s">
        <v>8</v>
      </c>
      <c r="C15" s="40" t="s">
        <v>251</v>
      </c>
      <c r="D15" s="36"/>
      <c r="G15" s="40" t="s">
        <v>27</v>
      </c>
      <c r="H15" s="40" t="s">
        <v>251</v>
      </c>
      <c r="I15" s="36"/>
    </row>
    <row r="16" spans="1:9" ht="21" x14ac:dyDescent="0.4">
      <c r="A16" s="36"/>
      <c r="B16" s="37">
        <v>85</v>
      </c>
      <c r="C16" s="138" t="str">
        <f>VLOOKUP(B16,$G$16:$H$20,2)</f>
        <v>B</v>
      </c>
      <c r="D16" s="36"/>
      <c r="G16" s="37">
        <v>0</v>
      </c>
      <c r="H16" s="139" t="s">
        <v>256</v>
      </c>
    </row>
    <row r="17" spans="1:9" ht="21" x14ac:dyDescent="0.4">
      <c r="A17" s="36"/>
      <c r="B17" s="39">
        <v>90</v>
      </c>
      <c r="C17" s="138" t="str">
        <f t="shared" ref="C17:C19" si="0">VLOOKUP(B17,$G$16:$H$20,2)</f>
        <v>A</v>
      </c>
      <c r="D17" s="36"/>
      <c r="G17" s="37">
        <v>60</v>
      </c>
      <c r="H17" s="139" t="s">
        <v>254</v>
      </c>
      <c r="I17" s="36"/>
    </row>
    <row r="18" spans="1:9" ht="21" x14ac:dyDescent="0.4">
      <c r="A18" s="36"/>
      <c r="B18" s="39">
        <v>75</v>
      </c>
      <c r="C18" s="138" t="str">
        <f t="shared" si="0"/>
        <v>C</v>
      </c>
      <c r="D18" s="36"/>
      <c r="G18" s="37">
        <v>70</v>
      </c>
      <c r="H18" s="139" t="s">
        <v>253</v>
      </c>
      <c r="I18" s="36"/>
    </row>
    <row r="19" spans="1:9" ht="21" x14ac:dyDescent="0.4">
      <c r="A19" s="36"/>
      <c r="B19" s="37">
        <v>66</v>
      </c>
      <c r="C19" s="138" t="str">
        <f t="shared" si="0"/>
        <v>D</v>
      </c>
      <c r="D19" s="36"/>
      <c r="G19" s="37">
        <v>80</v>
      </c>
      <c r="H19" s="139" t="s">
        <v>252</v>
      </c>
      <c r="I19" s="36"/>
    </row>
    <row r="20" spans="1:9" ht="21" x14ac:dyDescent="0.4">
      <c r="A20" s="36"/>
      <c r="B20" s="41"/>
      <c r="C20" s="42"/>
      <c r="D20" s="36"/>
      <c r="G20" s="37">
        <v>90</v>
      </c>
      <c r="H20" s="139" t="s">
        <v>444</v>
      </c>
      <c r="I20" s="36"/>
    </row>
    <row r="21" spans="1:9" ht="36" customHeight="1" x14ac:dyDescent="0.4">
      <c r="A21" s="36"/>
      <c r="B21" s="164" t="s">
        <v>447</v>
      </c>
      <c r="C21" s="165"/>
      <c r="D21" s="165"/>
      <c r="E21" s="165"/>
      <c r="F21" s="165"/>
      <c r="G21" s="36"/>
      <c r="H21" s="36"/>
      <c r="I21" s="36"/>
    </row>
    <row r="23" spans="1:9" s="34" customFormat="1" ht="123" customHeight="1" x14ac:dyDescent="0.4">
      <c r="A23" s="162" t="s">
        <v>261</v>
      </c>
      <c r="B23" s="162"/>
      <c r="C23" s="162"/>
      <c r="D23" s="162"/>
      <c r="E23" s="162"/>
      <c r="F23" s="162"/>
      <c r="G23" s="162"/>
      <c r="H23" s="162"/>
      <c r="I23" s="162"/>
    </row>
    <row r="26" spans="1:9" ht="21" x14ac:dyDescent="0.4">
      <c r="B26" s="113" t="s">
        <v>245</v>
      </c>
      <c r="C26" s="113" t="s">
        <v>248</v>
      </c>
      <c r="D26" s="113" t="s">
        <v>249</v>
      </c>
      <c r="E26" s="113" t="s">
        <v>250</v>
      </c>
    </row>
    <row r="27" spans="1:9" ht="21" x14ac:dyDescent="0.4">
      <c r="B27" s="39" t="s">
        <v>247</v>
      </c>
      <c r="C27" s="39">
        <v>1000</v>
      </c>
      <c r="D27" s="39">
        <v>1500</v>
      </c>
      <c r="E27" s="39">
        <v>2000</v>
      </c>
    </row>
    <row r="28" spans="1:9" ht="21" x14ac:dyDescent="0.4">
      <c r="B28" s="39" t="s">
        <v>246</v>
      </c>
      <c r="C28" s="39">
        <v>10</v>
      </c>
      <c r="D28" s="39">
        <v>20</v>
      </c>
      <c r="E28" s="39">
        <v>30</v>
      </c>
    </row>
    <row r="30" spans="1:9" ht="21" x14ac:dyDescent="0.4">
      <c r="B30" s="43" t="s">
        <v>255</v>
      </c>
    </row>
    <row r="31" spans="1:9" ht="21" x14ac:dyDescent="0.4">
      <c r="B31" s="112"/>
    </row>
    <row r="32" spans="1:9" ht="30" x14ac:dyDescent="0.4">
      <c r="C32" s="47" t="s">
        <v>260</v>
      </c>
    </row>
    <row r="34" spans="1:12" ht="21" x14ac:dyDescent="0.4">
      <c r="B34" s="40" t="s">
        <v>8</v>
      </c>
      <c r="C34" s="40" t="s">
        <v>251</v>
      </c>
    </row>
    <row r="35" spans="1:12" ht="21" x14ac:dyDescent="0.4">
      <c r="B35" s="37">
        <v>85</v>
      </c>
      <c r="C35" s="112"/>
      <c r="G35" s="113" t="s">
        <v>27</v>
      </c>
      <c r="H35" s="39">
        <v>0</v>
      </c>
      <c r="I35" s="39">
        <v>60</v>
      </c>
      <c r="J35" s="39">
        <v>70</v>
      </c>
      <c r="K35" s="39">
        <v>80</v>
      </c>
      <c r="L35" s="39">
        <v>90</v>
      </c>
    </row>
    <row r="36" spans="1:12" ht="21" x14ac:dyDescent="0.4">
      <c r="B36" s="39">
        <v>90</v>
      </c>
      <c r="C36" s="112"/>
      <c r="G36" s="113" t="s">
        <v>251</v>
      </c>
      <c r="H36" s="39" t="s">
        <v>256</v>
      </c>
      <c r="I36" s="39" t="s">
        <v>254</v>
      </c>
      <c r="J36" s="39" t="s">
        <v>253</v>
      </c>
      <c r="K36" s="39" t="s">
        <v>252</v>
      </c>
      <c r="L36" s="39" t="s">
        <v>256</v>
      </c>
    </row>
    <row r="37" spans="1:12" ht="21" x14ac:dyDescent="0.4">
      <c r="B37" s="39">
        <v>75</v>
      </c>
      <c r="C37" s="112"/>
    </row>
    <row r="38" spans="1:12" ht="21" x14ac:dyDescent="0.4">
      <c r="B38" s="37">
        <v>66</v>
      </c>
      <c r="C38" s="112"/>
    </row>
    <row r="39" spans="1:12" ht="30" x14ac:dyDescent="0.4">
      <c r="C39" s="47" t="s">
        <v>448</v>
      </c>
    </row>
    <row r="41" spans="1:12" ht="33" x14ac:dyDescent="0.4">
      <c r="C41" s="48"/>
    </row>
    <row r="42" spans="1:12" ht="33" x14ac:dyDescent="0.4">
      <c r="C42" s="48"/>
    </row>
    <row r="43" spans="1:12" ht="33" x14ac:dyDescent="0.4">
      <c r="C43" s="48"/>
    </row>
    <row r="46" spans="1:12" ht="27.6" x14ac:dyDescent="0.4">
      <c r="A46" s="50" t="s">
        <v>262</v>
      </c>
    </row>
    <row r="47" spans="1:12" ht="27.6" x14ac:dyDescent="0.4">
      <c r="A47" s="46" t="s">
        <v>263</v>
      </c>
    </row>
    <row r="49" spans="1:6" ht="25.2" x14ac:dyDescent="0.4">
      <c r="B49" s="51" t="s">
        <v>264</v>
      </c>
      <c r="C49" s="51" t="s">
        <v>4</v>
      </c>
      <c r="D49" s="52" t="s">
        <v>265</v>
      </c>
    </row>
    <row r="50" spans="1:6" ht="21" x14ac:dyDescent="0.4">
      <c r="B50" s="23">
        <v>3</v>
      </c>
      <c r="C50" s="80"/>
    </row>
    <row r="51" spans="1:6" ht="25.2" x14ac:dyDescent="0.4">
      <c r="B51" s="23">
        <v>2</v>
      </c>
      <c r="C51" s="80"/>
      <c r="D51" s="45" t="s">
        <v>291</v>
      </c>
    </row>
    <row r="52" spans="1:6" ht="21" x14ac:dyDescent="0.4">
      <c r="B52" s="23">
        <v>4</v>
      </c>
      <c r="C52" s="80"/>
    </row>
    <row r="53" spans="1:6" ht="21" x14ac:dyDescent="0.4">
      <c r="B53" s="23">
        <v>1</v>
      </c>
      <c r="C53" s="80"/>
    </row>
    <row r="57" spans="1:6" ht="25.2" x14ac:dyDescent="0.4">
      <c r="A57" s="49" t="s">
        <v>266</v>
      </c>
    </row>
    <row r="58" spans="1:6" ht="27.6" x14ac:dyDescent="0.4">
      <c r="A58" s="46" t="s">
        <v>267</v>
      </c>
    </row>
    <row r="60" spans="1:6" ht="21" x14ac:dyDescent="0.4">
      <c r="F60" s="53" t="s">
        <v>271</v>
      </c>
    </row>
    <row r="61" spans="1:6" ht="25.2" x14ac:dyDescent="0.4">
      <c r="B61" s="39" t="s">
        <v>268</v>
      </c>
      <c r="C61" s="39" t="s">
        <v>12</v>
      </c>
      <c r="D61" s="39">
        <v>100</v>
      </c>
      <c r="F61" s="114"/>
    </row>
    <row r="62" spans="1:6" ht="21" x14ac:dyDescent="0.4">
      <c r="B62" s="39" t="s">
        <v>269</v>
      </c>
      <c r="C62" s="39" t="s">
        <v>10</v>
      </c>
      <c r="D62" s="39">
        <v>200</v>
      </c>
      <c r="F62" s="24" t="s">
        <v>413</v>
      </c>
    </row>
    <row r="63" spans="1:6" ht="21" x14ac:dyDescent="0.4">
      <c r="B63" s="39" t="s">
        <v>270</v>
      </c>
      <c r="C63" s="39" t="s">
        <v>86</v>
      </c>
      <c r="D63" s="39">
        <v>300</v>
      </c>
    </row>
    <row r="67" spans="1:10" ht="27.6" x14ac:dyDescent="0.4">
      <c r="A67" s="50" t="s">
        <v>272</v>
      </c>
    </row>
    <row r="68" spans="1:10" ht="27.6" x14ac:dyDescent="0.4">
      <c r="A68" s="46" t="s">
        <v>273</v>
      </c>
    </row>
    <row r="69" spans="1:10" ht="25.2" x14ac:dyDescent="0.4">
      <c r="A69" s="52" t="s">
        <v>274</v>
      </c>
    </row>
    <row r="70" spans="1:10" ht="74.25" customHeight="1" x14ac:dyDescent="0.4">
      <c r="A70" s="163" t="s">
        <v>289</v>
      </c>
      <c r="B70" s="163"/>
      <c r="C70" s="163"/>
      <c r="D70" s="163"/>
      <c r="E70" s="163"/>
      <c r="F70" s="163"/>
      <c r="G70" s="163"/>
      <c r="H70" s="163"/>
      <c r="I70" s="163"/>
      <c r="J70" s="163"/>
    </row>
    <row r="71" spans="1:10" ht="78" customHeight="1" x14ac:dyDescent="0.4">
      <c r="A71" s="163" t="s">
        <v>290</v>
      </c>
      <c r="B71" s="163"/>
      <c r="C71" s="163"/>
      <c r="D71" s="163"/>
      <c r="E71" s="163"/>
      <c r="F71" s="163"/>
      <c r="G71" s="163"/>
      <c r="H71" s="163"/>
      <c r="I71" s="163"/>
      <c r="J71" s="163"/>
    </row>
    <row r="73" spans="1:10" ht="27.6" x14ac:dyDescent="0.4">
      <c r="B73" s="141" t="s">
        <v>275</v>
      </c>
      <c r="C73" s="56" t="s">
        <v>278</v>
      </c>
      <c r="D73" s="49" t="s">
        <v>281</v>
      </c>
    </row>
    <row r="74" spans="1:10" ht="27.6" x14ac:dyDescent="0.4">
      <c r="B74" s="141" t="s">
        <v>276</v>
      </c>
      <c r="C74" s="39" t="s">
        <v>284</v>
      </c>
      <c r="D74" s="115"/>
    </row>
    <row r="75" spans="1:10" ht="27.6" x14ac:dyDescent="0.4">
      <c r="B75" s="141" t="s">
        <v>277</v>
      </c>
      <c r="F75" s="45" t="s">
        <v>414</v>
      </c>
    </row>
    <row r="76" spans="1:10" ht="25.2" x14ac:dyDescent="0.4">
      <c r="F76" s="45" t="s">
        <v>415</v>
      </c>
    </row>
    <row r="78" spans="1:10" ht="25.2" x14ac:dyDescent="0.4">
      <c r="B78" s="142">
        <v>20</v>
      </c>
      <c r="C78" s="56" t="s">
        <v>279</v>
      </c>
      <c r="D78" s="49" t="s">
        <v>282</v>
      </c>
    </row>
    <row r="79" spans="1:10" ht="30" x14ac:dyDescent="0.4">
      <c r="B79" s="142">
        <v>40</v>
      </c>
      <c r="C79" s="39" t="s">
        <v>284</v>
      </c>
      <c r="D79" s="116"/>
    </row>
    <row r="80" spans="1:10" ht="25.2" x14ac:dyDescent="0.4">
      <c r="B80" s="142">
        <v>50</v>
      </c>
      <c r="F80" s="45" t="s">
        <v>416</v>
      </c>
    </row>
    <row r="81" spans="1:6" ht="25.2" x14ac:dyDescent="0.4">
      <c r="B81" s="142">
        <v>55</v>
      </c>
    </row>
    <row r="82" spans="1:6" ht="25.2" x14ac:dyDescent="0.4">
      <c r="B82" s="142">
        <v>70</v>
      </c>
    </row>
    <row r="85" spans="1:6" ht="25.2" x14ac:dyDescent="0.4">
      <c r="B85" s="142">
        <v>100</v>
      </c>
      <c r="C85" s="51" t="s">
        <v>280</v>
      </c>
      <c r="D85" s="49" t="s">
        <v>283</v>
      </c>
    </row>
    <row r="86" spans="1:6" ht="30" x14ac:dyDescent="0.4">
      <c r="B86" s="142">
        <v>90</v>
      </c>
      <c r="C86" s="39" t="s">
        <v>284</v>
      </c>
      <c r="D86" s="116"/>
    </row>
    <row r="87" spans="1:6" ht="25.2" x14ac:dyDescent="0.4">
      <c r="B87" s="142">
        <v>50</v>
      </c>
      <c r="F87" s="45" t="s">
        <v>417</v>
      </c>
    </row>
    <row r="88" spans="1:6" ht="25.2" x14ac:dyDescent="0.4">
      <c r="B88" s="142">
        <v>40</v>
      </c>
    </row>
    <row r="89" spans="1:6" ht="25.2" x14ac:dyDescent="0.4">
      <c r="B89" s="142">
        <v>20</v>
      </c>
    </row>
    <row r="90" spans="1:6" ht="25.2" x14ac:dyDescent="0.4">
      <c r="B90" s="142">
        <v>10</v>
      </c>
    </row>
    <row r="91" spans="1:6" ht="25.2" x14ac:dyDescent="0.4">
      <c r="B91" s="58"/>
    </row>
    <row r="92" spans="1:6" ht="25.2" x14ac:dyDescent="0.4">
      <c r="B92" s="58"/>
    </row>
    <row r="95" spans="1:6" ht="30" x14ac:dyDescent="0.4">
      <c r="A95" s="55" t="s">
        <v>285</v>
      </c>
    </row>
    <row r="96" spans="1:6" ht="30" x14ac:dyDescent="0.4">
      <c r="A96" s="47" t="s">
        <v>454</v>
      </c>
    </row>
    <row r="97" spans="1:10" ht="30" x14ac:dyDescent="0.4">
      <c r="A97" s="47"/>
      <c r="B97" s="51" t="s">
        <v>154</v>
      </c>
      <c r="G97" s="140" t="s">
        <v>451</v>
      </c>
    </row>
    <row r="98" spans="1:10" ht="30" x14ac:dyDescent="0.4">
      <c r="A98" s="47"/>
      <c r="B98" s="115"/>
      <c r="C98" s="47" t="s">
        <v>449</v>
      </c>
    </row>
    <row r="99" spans="1:10" ht="30" x14ac:dyDescent="0.4">
      <c r="A99" s="55" t="s">
        <v>286</v>
      </c>
    </row>
    <row r="100" spans="1:10" ht="30" x14ac:dyDescent="0.4">
      <c r="A100" s="47" t="s">
        <v>455</v>
      </c>
    </row>
    <row r="101" spans="1:10" ht="30" x14ac:dyDescent="0.4">
      <c r="A101" s="47"/>
      <c r="B101" s="51" t="s">
        <v>154</v>
      </c>
      <c r="H101" s="140">
        <v>1</v>
      </c>
      <c r="I101" s="140">
        <v>2</v>
      </c>
      <c r="J101" s="140">
        <v>3</v>
      </c>
    </row>
    <row r="102" spans="1:10" ht="33" x14ac:dyDescent="0.4">
      <c r="A102" s="47"/>
      <c r="B102" s="117"/>
      <c r="C102" s="48" t="s">
        <v>450</v>
      </c>
      <c r="H102" s="140">
        <v>4</v>
      </c>
      <c r="I102" s="140">
        <v>5</v>
      </c>
      <c r="J102" s="140">
        <v>6</v>
      </c>
    </row>
    <row r="103" spans="1:10" ht="30" x14ac:dyDescent="0.4">
      <c r="A103" s="55" t="s">
        <v>287</v>
      </c>
    </row>
    <row r="104" spans="1:10" ht="30" x14ac:dyDescent="0.4">
      <c r="A104" s="47" t="s">
        <v>456</v>
      </c>
    </row>
    <row r="105" spans="1:10" ht="30" x14ac:dyDescent="0.4">
      <c r="A105" s="47"/>
      <c r="B105" s="51" t="s">
        <v>154</v>
      </c>
      <c r="G105" s="140" t="s">
        <v>453</v>
      </c>
    </row>
    <row r="106" spans="1:10" ht="36" x14ac:dyDescent="0.4">
      <c r="A106" s="57"/>
      <c r="B106" s="118"/>
      <c r="C106" s="54" t="s">
        <v>452</v>
      </c>
    </row>
    <row r="107" spans="1:10" ht="30" x14ac:dyDescent="0.4">
      <c r="A107" s="55" t="s">
        <v>418</v>
      </c>
    </row>
    <row r="108" spans="1:10" ht="27.6" x14ac:dyDescent="0.4">
      <c r="A108" s="46" t="s">
        <v>458</v>
      </c>
      <c r="H108" s="140">
        <v>1</v>
      </c>
      <c r="I108" s="140">
        <v>2</v>
      </c>
      <c r="J108" s="140">
        <v>3</v>
      </c>
    </row>
    <row r="109" spans="1:10" ht="27.6" x14ac:dyDescent="0.4">
      <c r="A109" s="46"/>
      <c r="B109" s="51" t="s">
        <v>154</v>
      </c>
      <c r="H109" s="140">
        <v>4</v>
      </c>
      <c r="I109" s="140">
        <v>5</v>
      </c>
      <c r="J109" s="140">
        <v>6</v>
      </c>
    </row>
    <row r="110" spans="1:10" ht="30" x14ac:dyDescent="0.4">
      <c r="B110" s="116"/>
      <c r="C110" s="47" t="s">
        <v>457</v>
      </c>
    </row>
  </sheetData>
  <mergeCells count="5">
    <mergeCell ref="A3:I3"/>
    <mergeCell ref="A23:I23"/>
    <mergeCell ref="A70:J70"/>
    <mergeCell ref="A71:J71"/>
    <mergeCell ref="B21:F21"/>
  </mergeCells>
  <phoneticPr fontId="1" type="noConversion"/>
  <printOptions headings="1" gridLines="1"/>
  <pageMargins left="0.70866141732283472" right="0.70866141732283472" top="0.74803149606299213" bottom="0.74803149606299213" header="0.31496062992125984" footer="0.31496062992125984"/>
  <pageSetup paperSize="9" scale="60" orientation="portrait" horizontalDpi="4294967293" verticalDpi="4294967293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</vt:i4>
      </vt:variant>
    </vt:vector>
  </HeadingPairs>
  <TitlesOfParts>
    <vt:vector size="10" baseType="lpstr">
      <vt:lpstr>수식기본</vt:lpstr>
      <vt:lpstr>날짜시간함수</vt:lpstr>
      <vt:lpstr>수학함수</vt:lpstr>
      <vt:lpstr>통계함수</vt:lpstr>
      <vt:lpstr>텍스트함수</vt:lpstr>
      <vt:lpstr>데이터베이스</vt:lpstr>
      <vt:lpstr>논리함수</vt:lpstr>
      <vt:lpstr>찾기참조함수</vt:lpstr>
      <vt:lpstr>찾기참조함수!Print_Area</vt:lpstr>
      <vt:lpstr>점수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춘천403</dc:creator>
  <cp:lastModifiedBy>승태 이</cp:lastModifiedBy>
  <cp:lastPrinted>2023-01-10T08:22:31Z</cp:lastPrinted>
  <dcterms:created xsi:type="dcterms:W3CDTF">2022-10-25T06:20:30Z</dcterms:created>
  <dcterms:modified xsi:type="dcterms:W3CDTF">2026-03-17T08:35:23Z</dcterms:modified>
</cp:coreProperties>
</file>